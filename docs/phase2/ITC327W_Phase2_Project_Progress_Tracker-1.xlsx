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tshep\OneDrive\Desktop\"/>
    </mc:Choice>
  </mc:AlternateContent>
  <xr:revisionPtr revIDLastSave="0" documentId="13_ncr:1_{75FD49CD-5197-4630-999B-618D866AE7B8}" xr6:coauthVersionLast="47" xr6:coauthVersionMax="47" xr10:uidLastSave="{00000000-0000-0000-0000-000000000000}"/>
  <bookViews>
    <workbookView xWindow="-120" yWindow="-120" windowWidth="20730" windowHeight="11040" firstSheet="1" activeTab="1" xr2:uid="{00000000-000D-0000-FFFF-FFFF00000000}"/>
  </bookViews>
  <sheets>
    <sheet name="Instructions" sheetId="1" r:id="rId1"/>
    <sheet name="Project Overview" sheetId="2" r:id="rId2"/>
    <sheet name="Design Progress" sheetId="3" r:id="rId3"/>
    <sheet name="Individual Contributions" sheetId="4" r:id="rId4"/>
    <sheet name="Design Source Links" sheetId="5" r:id="rId5"/>
    <sheet name="Challenges &amp; Actions" sheetId="6" r:id="rId6"/>
    <sheet name="Phase Summary" sheetId="7" r:id="rId7"/>
    <sheet name="Group Reflect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 i="2" l="1"/>
  <c r="E4" i="2"/>
</calcChain>
</file>

<file path=xl/sharedStrings.xml><?xml version="1.0" encoding="utf-8"?>
<sst xmlns="http://schemas.openxmlformats.org/spreadsheetml/2006/main" count="462" uniqueCount="227">
  <si>
    <t>ITC327W Phase 2 Project Progress Tracker</t>
  </si>
  <si>
    <t>Use this workbook during Phase 2: System Architecture and Design. Update it throughout the phase and submit the same workbook with Assessment 2.</t>
  </si>
  <si>
    <t>Sheet</t>
  </si>
  <si>
    <t>Purpose</t>
  </si>
  <si>
    <t>What must be kept current</t>
  </si>
  <si>
    <t>Project Overview</t>
  </si>
  <si>
    <t>Group details and automatic progress summary</t>
  </si>
  <si>
    <t>Group information, GitHub link and current Phase 2 progress</t>
  </si>
  <si>
    <t>Design Progress</t>
  </si>
  <si>
    <t>Track each design artefact and supporting work</t>
  </si>
  <si>
    <t>Architecture, UML, ERD, mobile/web interfaces, SRS and project-management tasks</t>
  </si>
  <si>
    <t>Individual Contributions</t>
  </si>
  <si>
    <t>Record work personally completed by each student</t>
  </si>
  <si>
    <t>Activity, responsibility, work completed and evidence</t>
  </si>
  <si>
    <t>Design Source Links</t>
  </si>
  <si>
    <t>Record editable source links/files for submitted designs</t>
  </si>
  <si>
    <t>Architecture, UML, ERD, mobile and web design sources</t>
  </si>
  <si>
    <t>Challenges &amp; Actions</t>
  </si>
  <si>
    <t>Record design/project challenges and corrective action</t>
  </si>
  <si>
    <t>Problem, effect, action, owner, target date and status</t>
  </si>
  <si>
    <t>Phase Summary</t>
  </si>
  <si>
    <t>Summarise what was achieved and what remains</t>
  </si>
  <si>
    <t>Phase status, completed work, gaps and next priorities</t>
  </si>
  <si>
    <t>Group Reflection</t>
  </si>
  <si>
    <t>One shared group reflection for Phase 2</t>
  </si>
  <si>
    <t>Participation, collaboration, challenges, learning and improvements</t>
  </si>
  <si>
    <t>Important</t>
  </si>
  <si>
    <t>Do not create a separate tracker for each activity. This Phase 2 workbook is updated as the group progresses. Evidence may include GitHub commits, screenshots, document sections, editable design links/files and other appropriate project evidence. Do not include passwords, API keys or confidential stakeholder information.</t>
  </si>
  <si>
    <t>Phase 2 Project Overview</t>
  </si>
  <si>
    <t>Group</t>
  </si>
  <si>
    <t>Phase 2 Progress Summary</t>
  </si>
  <si>
    <t>Project Title</t>
  </si>
  <si>
    <t>Total tracked items</t>
  </si>
  <si>
    <t>Stakeholder / Organisation</t>
  </si>
  <si>
    <t>Completed</t>
  </si>
  <si>
    <t>Group Leader</t>
  </si>
  <si>
    <t>In Progress</t>
  </si>
  <si>
    <t>Number of Group Members</t>
  </si>
  <si>
    <t>Blocked</t>
  </si>
  <si>
    <t>GitHub Repository Link</t>
  </si>
  <si>
    <t>Average completion</t>
  </si>
  <si>
    <t>Reporting Period</t>
  </si>
  <si>
    <t>Overall Phase Status</t>
  </si>
  <si>
    <t>Not Started</t>
  </si>
  <si>
    <t>Phase 2 Reminder</t>
  </si>
  <si>
    <t>Phase 2 focuses on system architecture and design. Track the design artefacts, the editable source links/files, individual contributions, challenges, Microsoft Project updates and GitHub evidence. No separate stakeholder-evidence section is required in this tracker.</t>
  </si>
  <si>
    <t>Phase 2 Design Progress</t>
  </si>
  <si>
    <t>Task ID</t>
  </si>
  <si>
    <t>Design / Project Item</t>
  </si>
  <si>
    <t>Description / Expected Output</t>
  </si>
  <si>
    <t>Responsible Student(s)</t>
  </si>
  <si>
    <t>Planned Date</t>
  </si>
  <si>
    <t>Actual Completion Date</t>
  </si>
  <si>
    <t>Status</t>
  </si>
  <si>
    <t>% Complete</t>
  </si>
  <si>
    <t>Evidence / Link</t>
  </si>
  <si>
    <t>Notes / Action Required</t>
  </si>
  <si>
    <t>P2-01</t>
  </si>
  <si>
    <t>System Architecture</t>
  </si>
  <si>
    <t>Overall architecture showing Flutter, ASP.NET and shared Supabase backend</t>
  </si>
  <si>
    <t>P2-02</t>
  </si>
  <si>
    <t>Use Case Diagram</t>
  </si>
  <si>
    <t>Actors, use cases, system boundary and appropriate UML relationships</t>
  </si>
  <si>
    <t>P2-03</t>
  </si>
  <si>
    <t>Sequence Diagram 1</t>
  </si>
  <si>
    <t>Important Flutter process</t>
  </si>
  <si>
    <t>P2-04</t>
  </si>
  <si>
    <t>Sequence Diagram 2</t>
  </si>
  <si>
    <t>Important ASP.NET process</t>
  </si>
  <si>
    <t>P2-05</t>
  </si>
  <si>
    <t>ERD</t>
  </si>
  <si>
    <t>Entities, attributes, PKs, FKs, relationships and cardinality</t>
  </si>
  <si>
    <t>P2-06</t>
  </si>
  <si>
    <t>Flutter Interface Designs</t>
  </si>
  <si>
    <t>Main mobile screens and navigation</t>
  </si>
  <si>
    <t>P2-07</t>
  </si>
  <si>
    <t>ASP.NET Interface Designs</t>
  </si>
  <si>
    <t>Main web pages and navigation</t>
  </si>
  <si>
    <t>P2-08</t>
  </si>
  <si>
    <t>Design Alignment</t>
  </si>
  <si>
    <t>Requirements linked across UML, ERD and interfaces</t>
  </si>
  <si>
    <t>P2-09</t>
  </si>
  <si>
    <t>Updated SRS</t>
  </si>
  <si>
    <t>Phase 2 architecture and design section inserted in existing SRS</t>
  </si>
  <si>
    <t>P2-10</t>
  </si>
  <si>
    <t>Microsoft Project</t>
  </si>
  <si>
    <t>Schedule updated to reflect design progress and upcoming development</t>
  </si>
  <si>
    <t>P2-11</t>
  </si>
  <si>
    <t>GitHub</t>
  </si>
  <si>
    <t>Current design documentation and repository organisation</t>
  </si>
  <si>
    <t>P2-12</t>
  </si>
  <si>
    <t>Phase 2 Presentation</t>
  </si>
  <si>
    <t>Presentation and defence preparation</t>
  </si>
  <si>
    <t>Phase 2 Individual Contributions</t>
  </si>
  <si>
    <t>Student Name</t>
  </si>
  <si>
    <t>Student Number</t>
  </si>
  <si>
    <t>Activity / Artefact</t>
  </si>
  <si>
    <t>Assigned Responsibility</t>
  </si>
  <si>
    <t>Work Personally Completed</t>
  </si>
  <si>
    <t>Date Completed</t>
  </si>
  <si>
    <t>Hours Spent</t>
  </si>
  <si>
    <t>Verified by Group</t>
  </si>
  <si>
    <t>Verification Date</t>
  </si>
  <si>
    <t>Quality / Review Notes</t>
  </si>
  <si>
    <t>Contribution Status</t>
  </si>
  <si>
    <t>No</t>
  </si>
  <si>
    <t>Phase 2 Original Design Source Links / Files</t>
  </si>
  <si>
    <t>Design Artefact</t>
  </si>
  <si>
    <t>Tool Used</t>
  </si>
  <si>
    <t>Editable Link / File Name</t>
  </si>
  <si>
    <t>Accessible to Lecturer?</t>
  </si>
  <si>
    <t>Last Updated</t>
  </si>
  <si>
    <t>Responsible Student</t>
  </si>
  <si>
    <t>Included in SRS?</t>
  </si>
  <si>
    <t>Notes</t>
  </si>
  <si>
    <t>Navigation Flow</t>
  </si>
  <si>
    <t>Phase 2 Challenges and Corrective Actions</t>
  </si>
  <si>
    <t>Date Identified</t>
  </si>
  <si>
    <t>Challenge</t>
  </si>
  <si>
    <t>Effect on Progress / Design</t>
  </si>
  <si>
    <t>Corrective Action</t>
  </si>
  <si>
    <t>Target Date</t>
  </si>
  <si>
    <t>Resolved Date</t>
  </si>
  <si>
    <t>Phase 2 Completion Checklist</t>
  </si>
  <si>
    <t>Complete?</t>
  </si>
  <si>
    <t>Architecture complete</t>
  </si>
  <si>
    <t>What was completed during Phase 2?</t>
  </si>
  <si>
    <t>Use Case Diagram complete</t>
  </si>
  <si>
    <t>What remains incomplete?</t>
  </si>
  <si>
    <t>Two Sequence Diagrams complete</t>
  </si>
  <si>
    <t>Why is it incomplete?</t>
  </si>
  <si>
    <t>ERD complete</t>
  </si>
  <si>
    <t>Which contributions were particularly important?</t>
  </si>
  <si>
    <t>Flutter interfaces complete</t>
  </si>
  <si>
    <t>Were there participation concerns?</t>
  </si>
  <si>
    <t>ASP.NET interfaces complete</t>
  </si>
  <si>
    <t>What will the group improve in Phase 3?</t>
  </si>
  <si>
    <t>Editable source links/files recorded</t>
  </si>
  <si>
    <t>Main priority for Phase 3</t>
  </si>
  <si>
    <t>SRS updated</t>
  </si>
  <si>
    <t>Microsoft Project updated</t>
  </si>
  <si>
    <t>GitHub current</t>
  </si>
  <si>
    <t>Individual contributions recorded</t>
  </si>
  <si>
    <t>Challenges/actions updated</t>
  </si>
  <si>
    <t>Group reflection completed</t>
  </si>
  <si>
    <t>Phase 2 Group Reflection</t>
  </si>
  <si>
    <t>1. What did the group complete successfully during Phase 2?</t>
  </si>
  <si>
    <t>2. Which architecture or design activities were the most challenging?</t>
  </si>
  <si>
    <t>3. How did the group ensure that Flutter, ASP.NET and Supabase were designed as one integrated system?</t>
  </si>
  <si>
    <t>4. How was work divided among group members, and was participation balanced?</t>
  </si>
  <si>
    <t>5. What did the group learn from developing the UML, ERD and interface designs?</t>
  </si>
  <si>
    <t>6. What will the group do differently during development in Phase 3?</t>
  </si>
  <si>
    <t xml:space="preserve">Group U </t>
  </si>
  <si>
    <t>Sebenza Clocking System</t>
  </si>
  <si>
    <t xml:space="preserve">Umzamo Analytical Services </t>
  </si>
  <si>
    <t>Pedro &amp; Takalani</t>
  </si>
  <si>
    <t>Lerato</t>
  </si>
  <si>
    <t>Selloane</t>
  </si>
  <si>
    <t>Kwanele</t>
  </si>
  <si>
    <t>Nkosinathi</t>
  </si>
  <si>
    <t>Thapelo</t>
  </si>
  <si>
    <t>Tshepiso</t>
  </si>
  <si>
    <t>Everyone</t>
  </si>
  <si>
    <t>Tshegofatso</t>
  </si>
  <si>
    <t>2.3</t>
  </si>
  <si>
    <t>Update the SRS</t>
  </si>
  <si>
    <t>Upate all the typos, risk changelog and functional requirements also created the diagram links table.</t>
  </si>
  <si>
    <t>1 day</t>
  </si>
  <si>
    <t>Yes</t>
  </si>
  <si>
    <t>3.1</t>
  </si>
  <si>
    <t>4 days</t>
  </si>
  <si>
    <t>https://viewer.diagrams.net/?tags=%7B%7D&amp;lightbox=1&amp;highlight=0000ff&amp;edit=_blank&amp;layers=1&amp;nav=1&amp;title=System%20Architecture.drawio&amp;dark=auto#Uhttps%3A%2F%2Fdrive.google.com%2Fuc%3Fid%3D1rESYHt5o1iQarVEFVaAx0mJylvMq4XkD%26export%3Ddownload</t>
  </si>
  <si>
    <t>Pedro</t>
  </si>
  <si>
    <t>3.2</t>
  </si>
  <si>
    <t>Use Case</t>
  </si>
  <si>
    <t>Developed the initial Use Case Diagram, identifying the main system actors and their interactions with the proposed system.</t>
  </si>
  <si>
    <t>Takalani</t>
  </si>
  <si>
    <t>Assisted with the Use Case Diagram following the group's design review and feedback, ensuring that the actors, use cases and system interactions remained aligned with the project requirements.</t>
  </si>
  <si>
    <t>3.3</t>
  </si>
  <si>
    <t>Developed one of the Sequence Diagrams to illustrate the interaction between system components. Assisted with updating the project plan.</t>
  </si>
  <si>
    <t>7 days</t>
  </si>
  <si>
    <t>Sequence Diagram &amp; Project Plan</t>
  </si>
  <si>
    <t xml:space="preserve">Sequence Diagram &amp; Project Plan </t>
  </si>
  <si>
    <t>3.2 &amp; 3.3</t>
  </si>
  <si>
    <t>Database Design and ERD</t>
  </si>
  <si>
    <t>Designed the database structure and developed the Entity Relationship Diagram (ERD), identifying the main entities, attributes, keys and relationships required to support the system.</t>
  </si>
  <si>
    <t>9 days</t>
  </si>
  <si>
    <t>Assisted with the database design and developing the ERD</t>
  </si>
  <si>
    <t>Paki</t>
  </si>
  <si>
    <t>8 days</t>
  </si>
  <si>
    <t>Updated and maintained the Phase 2 project progress tracker, including the project overview, task progress and individual contribution records.</t>
  </si>
  <si>
    <t>Project Tracker</t>
  </si>
  <si>
    <t>Updated Project Tracker</t>
  </si>
  <si>
    <t>https://viewer.diagrams.net/?tags=%7B%7D&amp;lightbox=1&amp;highlight=0000ff&amp;edit=_blank&amp;layers=1&amp;nav=1&amp;title=Sequence%20Diagram%20-%20Overtime.drawio&amp;dark=auto#Uhttps%3A%2F%2Fdrive.google.com%2Fuc%3Fid%3D1Bkmql88aJhFnxKD1ADPUpkwqfoEABKN5%26export%3Ddownload</t>
  </si>
  <si>
    <t>https://canva.link/4iw7qdaph3idtkh</t>
  </si>
  <si>
    <t>https://viewer.diagrams.net/?tags=%7B%7D&amp;lightbox=1&amp;highlight=0000ff&amp;edit=_blank&amp;layers=1&amp;nav=1&amp;title=Sequence%20Diagram.drawio&amp;dark=auto#Uhttps%3A%2F%2Fdrive.google.com%2Fuc%3Fid%3D1Lxjyn7C33eKcqnTFqsEF9ZGF_tcGvsgr%26export%3Ddownload</t>
  </si>
  <si>
    <t>https://lucid.app/lucidchart/bd59e6f9-8f1d-4421-8316-84cc445b37c5/edit?viewport_loc=-597%2C-24%2C3975%2C1710%2C0_0&amp;invitationId=inv_1cb79b5c-175b-4651-a1bd-d4d0ac932d90</t>
  </si>
  <si>
    <t>https://www.figma.com/make/ksSuk3HNqtRmwr8my3Dw7E/Sebenza-Clocking-System?t=NoVGadtCKHc67q7K-1</t>
  </si>
  <si>
    <t>Kwanele &amp; Paki</t>
  </si>
  <si>
    <t xml:space="preserve">System Architecture </t>
  </si>
  <si>
    <t xml:space="preserve">Designed the system architecture. </t>
  </si>
  <si>
    <t xml:space="preserve">User Interface Prototype </t>
  </si>
  <si>
    <t xml:space="preserve">Designed the user interface prototypes , covering the proposed user-facing interfaces and ensuring that the designs support the system's functional requirements. </t>
  </si>
  <si>
    <t>Figma</t>
  </si>
  <si>
    <t>LucidChart</t>
  </si>
  <si>
    <t>Canva</t>
  </si>
  <si>
    <t>Time and separation of tasks were difficult, and the group spent longer than expected deciding who should do which task.</t>
  </si>
  <si>
    <t>Some time was lost before responsibilities were finalised.</t>
  </si>
  <si>
    <t>we ended up just playing on each others strengths this time and just let people do tasks they enjoy and also some compromised where they had to as long as we get the task done.</t>
  </si>
  <si>
    <t xml:space="preserve">Waiting on HR to reply with feedback on The updated SRS and wireframs </t>
  </si>
  <si>
    <t xml:space="preserve">Could delay us compliting the SRS document as the feedback from the stakeholder is going to be the last thing on our list </t>
  </si>
  <si>
    <t xml:space="preserve">Nkosinathi will follow up and gather the feedback atleast a week before we need to submit so that we can have enough time to look at the document in its final form fix what needs to be fixed and submit a well thought document </t>
  </si>
  <si>
    <t xml:space="preserve">14 September 2026 - 12 October 2026	</t>
  </si>
  <si>
    <t>Finish the SRS, keep the GitHub repository and Microsoft Project file current, and prepare for the Phase 2 presentation.</t>
  </si>
  <si>
    <t>Communicate task progress more consistently and everyone be hands on to ensure success in our project.</t>
  </si>
  <si>
    <t>Draw.io</t>
  </si>
  <si>
    <t>Ensuring that our diagrams explain what our system does properly</t>
  </si>
  <si>
    <r>
      <rPr>
        <sz val="11"/>
        <rFont val="Carlito"/>
      </rPr>
      <t>The most challenging activities were separating tasks efficiently and coordinating work when some members found particular tasks difficult. The group discussed the difficulties, used members' strengths and allowed compromises or task swaps so that the required work could be completed.</t>
    </r>
    <r>
      <rPr>
        <b/>
        <sz val="11"/>
        <rFont val="Carlito"/>
      </rPr>
      <t xml:space="preserve">					
					</t>
    </r>
  </si>
  <si>
    <r>
      <rPr>
        <sz val="11"/>
        <rFont val="Carlito"/>
      </rPr>
      <t xml:space="preserve">The group completed the main Phase 2 design artefacts recorded in the tracker, including the system architecture, Use Case Diagram, two Sequence Diagrams, ERD and user-interface prototypes. The group also made progress on the updated SRS, project planning and progress documentation.	</t>
    </r>
    <r>
      <rPr>
        <b/>
        <sz val="11"/>
        <rFont val="Carlito"/>
      </rPr>
      <t xml:space="preserve">				
					</t>
    </r>
  </si>
  <si>
    <t>Work was divided according to the Phase 2 responsibilities recorded in the contribution tracker. Nkosinathi worked on UI prototypes ; Pedro and Takalani on the Use Case Diagram; Lerato and Selloane on Sequence Diagrams and the project plan; Kwanele and Paki on the ERD; Tshegofatso on architecture and stakeholder engagement; Tshepiso on the progress tracker; and Thapelo on the SRS update. The group recorded that ten of ten members contributed fairly.</t>
  </si>
  <si>
    <t xml:space="preserve">During development the group will communicate task progress more consistently, involve all members more actively, keep evidence and project records updated as work is completed, incorporate stakeholder feedback early and maintain realistic internal deadlines.					
					</t>
  </si>
  <si>
    <t>We learned how to turn our Phase 1 requirements into technical designs. UML helped us understand system interactions, the ERD helped us structure the data, and the interface designs helped us translate the requirements into usable screens. We also learned the importance of keeping all our designs consistent.</t>
  </si>
  <si>
    <t>We gave each technology a clear responsibility: Flutter for the employee mobile interface, ASP.NET for the management web application and business logic, and Supabase for shared authentication and data storage. We then aligned the architecture, UML, ERD and interfaces so that they all represented the same requirements, data and processes.</t>
  </si>
  <si>
    <t>We have succesfuly separated tasks among each other , the wireframes have been finished, the system archetecture, use case and sequence diagrams are completed. The SRS document is being updated and getting ready for phase 2 information.</t>
  </si>
  <si>
    <t xml:space="preserve">NONE </t>
  </si>
  <si>
    <t>3 days</t>
  </si>
  <si>
    <t>14 September 2026 - 13 October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</si>
</sst>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name val="Carlito"/>
    </font>
    <font>
      <b/>
      <sz val="15"/>
      <color rgb="FFFFFFFF"/>
      <name val="Carlito"/>
    </font>
    <font>
      <b/>
      <sz val="11"/>
      <color rgb="FFFFFFFF"/>
      <name val="Carlito"/>
    </font>
    <font>
      <b/>
      <sz val="11"/>
      <name val="Carlito"/>
    </font>
    <font>
      <sz val="11"/>
      <name val="Carlito"/>
    </font>
    <font>
      <u/>
      <sz val="11"/>
      <color theme="10"/>
      <name val="Carlito"/>
    </font>
  </fonts>
  <fills count="7">
    <fill>
      <patternFill patternType="none"/>
    </fill>
    <fill>
      <patternFill patternType="gray125"/>
    </fill>
    <fill>
      <patternFill patternType="solid">
        <fgColor rgb="FF17365D"/>
      </patternFill>
    </fill>
    <fill>
      <patternFill patternType="solid">
        <fgColor rgb="FFF3F6FA"/>
      </patternFill>
    </fill>
    <fill>
      <patternFill patternType="solid">
        <fgColor rgb="FFD9EAF7"/>
      </patternFill>
    </fill>
    <fill>
      <patternFill patternType="solid">
        <fgColor rgb="FFFFF2CC"/>
      </patternFill>
    </fill>
    <fill>
      <patternFill patternType="solid">
        <fgColor rgb="FFE2F0D9"/>
      </patternFill>
    </fill>
  </fills>
  <borders count="2">
    <border>
      <left/>
      <right/>
      <top/>
      <bottom/>
      <diagonal/>
    </border>
    <border>
      <left/>
      <right/>
      <top/>
      <bottom/>
      <diagonal/>
    </border>
  </borders>
  <cellStyleXfs count="5">
    <xf numFmtId="0" fontId="0" fillId="0" borderId="0"/>
    <xf numFmtId="0" fontId="4" fillId="0" borderId="1"/>
    <xf numFmtId="0" fontId="5" fillId="0" borderId="1" applyNumberFormat="0" applyFill="0" applyBorder="0" applyAlignment="0" applyProtection="0"/>
    <xf numFmtId="0" fontId="4" fillId="0" borderId="1"/>
    <xf numFmtId="0" fontId="4" fillId="0" borderId="1"/>
  </cellStyleXfs>
  <cellXfs count="24">
    <xf numFmtId="0" fontId="0" fillId="0" borderId="0" xfId="0"/>
    <xf numFmtId="0" fontId="2" fillId="2" borderId="0" xfId="0" applyFont="1" applyFill="1" applyAlignment="1">
      <alignment horizontal="center" vertical="center" wrapText="1"/>
    </xf>
    <xf numFmtId="0" fontId="0" fillId="0" borderId="0" xfId="0" applyAlignment="1">
      <alignment wrapText="1"/>
    </xf>
    <xf numFmtId="0" fontId="3" fillId="4" borderId="0" xfId="0" applyFont="1" applyFill="1"/>
    <xf numFmtId="0" fontId="3" fillId="4" borderId="0" xfId="0" applyFont="1" applyFill="1" applyAlignment="1">
      <alignment wrapText="1"/>
    </xf>
    <xf numFmtId="0" fontId="0" fillId="5" borderId="0" xfId="0" applyFill="1" applyAlignment="1">
      <alignment vertical="top" wrapText="1"/>
    </xf>
    <xf numFmtId="0" fontId="3" fillId="6" borderId="0" xfId="0" applyFont="1" applyFill="1" applyAlignment="1">
      <alignment horizontal="center"/>
    </xf>
    <xf numFmtId="9" fontId="3" fillId="6" borderId="0" xfId="0" applyNumberFormat="1" applyFont="1" applyFill="1" applyAlignment="1">
      <alignment horizontal="center"/>
    </xf>
    <xf numFmtId="9" fontId="0" fillId="5" borderId="0" xfId="0" applyNumberFormat="1" applyFill="1" applyAlignment="1">
      <alignment vertical="top" wrapText="1"/>
    </xf>
    <xf numFmtId="0" fontId="3" fillId="4" borderId="0" xfId="0" applyFont="1" applyFill="1" applyAlignment="1">
      <alignment vertical="top" wrapText="1"/>
    </xf>
    <xf numFmtId="14" fontId="0" fillId="5" borderId="0" xfId="0" applyNumberFormat="1" applyFill="1" applyAlignment="1">
      <alignment vertical="top" wrapText="1"/>
    </xf>
    <xf numFmtId="0" fontId="5" fillId="5" borderId="0" xfId="2" applyFill="1" applyBorder="1" applyAlignment="1">
      <alignment vertical="top" wrapText="1"/>
    </xf>
    <xf numFmtId="0" fontId="1" fillId="2" borderId="0" xfId="0" applyFont="1" applyFill="1" applyAlignment="1">
      <alignment horizontal="center" vertical="center"/>
    </xf>
    <xf numFmtId="0" fontId="0" fillId="3" borderId="0" xfId="0" applyFill="1" applyAlignment="1">
      <alignment wrapText="1"/>
    </xf>
    <xf numFmtId="0" fontId="2" fillId="2" borderId="0" xfId="0" applyFont="1" applyFill="1"/>
    <xf numFmtId="0" fontId="0" fillId="3" borderId="0" xfId="0" applyFill="1" applyAlignment="1">
      <alignment vertical="top" wrapText="1"/>
    </xf>
    <xf numFmtId="0" fontId="2" fillId="2" borderId="0" xfId="0" applyFont="1" applyFill="1" applyAlignment="1">
      <alignment horizontal="center"/>
    </xf>
    <xf numFmtId="0" fontId="0" fillId="5" borderId="0" xfId="0" applyFill="1" applyAlignment="1">
      <alignment vertical="top" wrapText="1"/>
    </xf>
    <xf numFmtId="0" fontId="0" fillId="5" borderId="0" xfId="0" applyFill="1" applyAlignment="1">
      <alignment horizontal="left" vertical="top" wrapText="1"/>
    </xf>
    <xf numFmtId="0" fontId="3" fillId="4" borderId="0" xfId="0" applyFont="1" applyFill="1" applyAlignment="1">
      <alignment wrapText="1"/>
    </xf>
    <xf numFmtId="0" fontId="4" fillId="5" borderId="1" xfId="4" applyFill="1" applyAlignment="1">
      <alignment vertical="top" wrapText="1"/>
    </xf>
    <xf numFmtId="0" fontId="4" fillId="0" borderId="1" xfId="4"/>
    <xf numFmtId="0" fontId="3" fillId="5" borderId="0" xfId="0" applyFont="1" applyFill="1" applyAlignment="1">
      <alignment vertical="top" wrapText="1"/>
    </xf>
    <xf numFmtId="0" fontId="3" fillId="4" borderId="0" xfId="0" applyFont="1" applyFill="1" applyAlignment="1">
      <alignment vertical="top" wrapText="1"/>
    </xf>
  </cellXfs>
  <cellStyles count="5">
    <cellStyle name="Hyperlink" xfId="2" builtinId="8"/>
    <cellStyle name="Normal" xfId="0" builtinId="0"/>
    <cellStyle name="Normal 2" xfId="1" xr:uid="{05214EA7-8042-40E1-86B0-B74EE770405F}"/>
    <cellStyle name="Normal 3" xfId="3" xr:uid="{A9637BA1-4E82-40FD-9292-15B415AA5DE1}"/>
    <cellStyle name="Normal 4" xfId="4" xr:uid="{4723A39E-07F4-4CA6-A785-659C689432AE}"/>
  </cellStyles>
  <dxfs count="5">
    <dxf>
      <fill>
        <patternFill patternType="solid">
          <bgColor rgb="FFF4CCCC"/>
        </patternFill>
      </fill>
    </dxf>
    <dxf>
      <fill>
        <patternFill patternType="solid">
          <bgColor rgb="FFE2F0D9"/>
        </patternFill>
      </fill>
    </dxf>
    <dxf>
      <fill>
        <patternFill patternType="solid">
          <bgColor rgb="FFE2F0D9"/>
        </patternFill>
      </fill>
    </dxf>
    <dxf>
      <fill>
        <patternFill patternType="solid">
          <bgColor rgb="FFF4CCCC"/>
        </patternFill>
      </fill>
    </dxf>
    <dxf>
      <fill>
        <patternFill patternType="solid">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hyperlink" Target="https://viewer.diagrams.net/?tags=%7B%7D&amp;lightbox=1&amp;highlight=0000ff&amp;edit=_blank&amp;layers=1&amp;nav=1&amp;title=Sequence%20Diagram.drawio&amp;dark=auto" TargetMode="External"/><Relationship Id="rId7" Type="http://schemas.openxmlformats.org/officeDocument/2006/relationships/hyperlink" Target="https://lucid.app/lucidchart/bd59e6f9-8f1d-4421-8316-84cc445b37c5/edit?viewport_loc=-597%2C-24%2C3975%2C1710%2C0_0&amp;invitationId=inv_1cb79b5c-175b-4651-a1bd-d4d0ac932d90" TargetMode="External"/><Relationship Id="rId2" Type="http://schemas.openxmlformats.org/officeDocument/2006/relationships/hyperlink" Target="https://viewer.diagrams.net/?tags=%7B%7D&amp;lightbox=1&amp;highlight=0000ff&amp;edit=_blank&amp;layers=1&amp;nav=1&amp;title=System%20Architecture.drawio&amp;dark=auto" TargetMode="External"/><Relationship Id="rId1" Type="http://schemas.openxmlformats.org/officeDocument/2006/relationships/hyperlink" Target="https://www.figma.com/make/ksSuk3HNqtRmwr8my3Dw7E/Sebenza-Clocking-System?t=NoVGadtCKHc67q7K-1" TargetMode="External"/><Relationship Id="rId6" Type="http://schemas.openxmlformats.org/officeDocument/2006/relationships/hyperlink" Target="https://www.figma.com/make/ksSuk3HNqtRmwr8my3Dw7E/Sebenza-Clocking-System?t=NoVGadtCKHc67q7K-1" TargetMode="External"/><Relationship Id="rId5" Type="http://schemas.openxmlformats.org/officeDocument/2006/relationships/hyperlink" Target="https://lucid.app/lucidchart/bd59e6f9-8f1d-4421-8316-84cc445b37c5/edit?viewport_loc=-597%2C-24%2C3975%2C1710%2C0_0&amp;invitationId=inv_1cb79b5c-175b-4651-a1bd-d4d0ac932d90" TargetMode="External"/><Relationship Id="rId4" Type="http://schemas.openxmlformats.org/officeDocument/2006/relationships/hyperlink" Target="https://viewer.diagrams.net/?tags=%7B%7D&amp;lightbox=1&amp;highlight=0000ff&amp;edit=_blank&amp;layers=1&amp;nav=1&amp;title=Sequence%20Diagram%20-%20Overtime.drawio&amp;dark=auto"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figma.com/make/ksSuk3HNqtRmwr8my3Dw7E/Sebenza-Clocking-System?t=NoVGadtCKHc67q7K-1" TargetMode="External"/><Relationship Id="rId3" Type="http://schemas.openxmlformats.org/officeDocument/2006/relationships/hyperlink" Target="https://canva.link/4iw7qdaph3idtkh" TargetMode="External"/><Relationship Id="rId7" Type="http://schemas.openxmlformats.org/officeDocument/2006/relationships/hyperlink" Target="https://lucid.app/lucidchart/bd59e6f9-8f1d-4421-8316-84cc445b37c5/edit?viewport_loc=-597%2C-24%2C3975%2C1710%2C0_0&amp;invitationId=inv_1cb79b5c-175b-4651-a1bd-d4d0ac932d90" TargetMode="External"/><Relationship Id="rId2" Type="http://schemas.openxmlformats.org/officeDocument/2006/relationships/hyperlink" Target="https://viewer.diagrams.net/?tags=%7B%7D&amp;lightbox=1&amp;highlight=0000ff&amp;edit=_blank&amp;layers=1&amp;nav=1&amp;title=System%20Architecture.drawio&amp;dark=auto" TargetMode="External"/><Relationship Id="rId1" Type="http://schemas.openxmlformats.org/officeDocument/2006/relationships/hyperlink" Target="https://viewer.diagrams.net/?tags=%7B%7D&amp;lightbox=1&amp;highlight=0000ff&amp;edit=_blank&amp;layers=1&amp;nav=1&amp;title=Sequence%20Diagram%20-%20Overtime.drawio&amp;dark=auto" TargetMode="External"/><Relationship Id="rId6" Type="http://schemas.openxmlformats.org/officeDocument/2006/relationships/hyperlink" Target="https://lucid.app/lucidchart/bd59e6f9-8f1d-4421-8316-84cc445b37c5/edit?viewport_loc=-597%2C-24%2C3975%2C1710%2C0_0&amp;invitationId=inv_1cb79b5c-175b-4651-a1bd-d4d0ac932d90" TargetMode="External"/><Relationship Id="rId5" Type="http://schemas.openxmlformats.org/officeDocument/2006/relationships/hyperlink" Target="https://viewer.diagrams.net/?tags=%7B%7D&amp;lightbox=1&amp;highlight=0000ff&amp;edit=_blank&amp;layers=1&amp;nav=1&amp;title=Sequence%20Diagram.drawio&amp;dark=auto" TargetMode="External"/><Relationship Id="rId4" Type="http://schemas.openxmlformats.org/officeDocument/2006/relationships/hyperlink" Target="https://canva.link/4iw7qdaph3idtkh"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figma.com/make/ksSuk3HNqtRmwr8my3Dw7E/Sebenza-Clocking-System?t=NoVGadtCKHc67q7K-1" TargetMode="External"/><Relationship Id="rId3" Type="http://schemas.openxmlformats.org/officeDocument/2006/relationships/hyperlink" Target="https://viewer.diagrams.net/?tags=%7B%7D&amp;lightbox=1&amp;highlight=0000ff&amp;edit=_blank&amp;layers=1&amp;nav=1&amp;title=Sequence%20Diagram.drawio&amp;dark=auto" TargetMode="External"/><Relationship Id="rId7" Type="http://schemas.openxmlformats.org/officeDocument/2006/relationships/hyperlink" Target="https://www.figma.com/make/ksSuk3HNqtRmwr8my3Dw7E/Sebenza-Clocking-System?t=NoVGadtCKHc67q7K-1" TargetMode="External"/><Relationship Id="rId2" Type="http://schemas.openxmlformats.org/officeDocument/2006/relationships/hyperlink" Target="https://canva.link/4iw7qdaph3idtkh" TargetMode="External"/><Relationship Id="rId1" Type="http://schemas.openxmlformats.org/officeDocument/2006/relationships/hyperlink" Target="https://viewer.diagrams.net/?tags=%7B%7D&amp;lightbox=1&amp;highlight=0000ff&amp;edit=_blank&amp;layers=1&amp;nav=1&amp;title=System%20Architecture.drawio&amp;dark=auto" TargetMode="External"/><Relationship Id="rId6" Type="http://schemas.openxmlformats.org/officeDocument/2006/relationships/hyperlink" Target="https://www.figma.com/make/ksSuk3HNqtRmwr8my3Dw7E/Sebenza-Clocking-System?t=NoVGadtCKHc67q7K-1" TargetMode="External"/><Relationship Id="rId5" Type="http://schemas.openxmlformats.org/officeDocument/2006/relationships/hyperlink" Target="https://lucid.app/lucidchart/bd59e6f9-8f1d-4421-8316-84cc445b37c5/edit?viewport_loc=-597%2C-24%2C3975%2C1710%2C0_0&amp;invitationId=inv_1cb79b5c-175b-4651-a1bd-d4d0ac932d90" TargetMode="External"/><Relationship Id="rId4" Type="http://schemas.openxmlformats.org/officeDocument/2006/relationships/hyperlink" Target="https://viewer.diagrams.net/?tags=%7B%7D&amp;lightbox=1&amp;highlight=0000ff&amp;edit=_blank&amp;layers=1&amp;nav=1&amp;title=Sequence%20Diagram%20-%20Overtime.drawio&amp;dark=auto"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8"/>
  <sheetViews>
    <sheetView topLeftCell="A6" workbookViewId="0">
      <selection sqref="A1:F1"/>
    </sheetView>
  </sheetViews>
  <sheetFormatPr defaultRowHeight="14.25"/>
  <cols>
    <col min="1" max="1" width="25" customWidth="1"/>
    <col min="2" max="2" width="38" customWidth="1"/>
    <col min="3" max="3" width="52" customWidth="1"/>
    <col min="4" max="6" width="14" customWidth="1"/>
  </cols>
  <sheetData>
    <row r="1" spans="1:6" ht="33.950000000000003" customHeight="1">
      <c r="A1" s="12" t="s">
        <v>0</v>
      </c>
      <c r="B1" s="12"/>
      <c r="C1" s="12"/>
      <c r="D1" s="12"/>
      <c r="E1" s="12"/>
      <c r="F1" s="12"/>
    </row>
    <row r="2" spans="1:6" ht="33.950000000000003" customHeight="1">
      <c r="A2" s="13" t="s">
        <v>1</v>
      </c>
      <c r="B2" s="13"/>
      <c r="C2" s="13"/>
      <c r="D2" s="13"/>
      <c r="E2" s="13"/>
      <c r="F2" s="13"/>
    </row>
    <row r="4" spans="1:6" ht="30" customHeight="1">
      <c r="A4" s="1" t="s">
        <v>2</v>
      </c>
      <c r="B4" s="1" t="s">
        <v>3</v>
      </c>
      <c r="C4" s="1" t="s">
        <v>4</v>
      </c>
    </row>
    <row r="5" spans="1:6" ht="39.950000000000003" customHeight="1">
      <c r="A5" s="2" t="s">
        <v>5</v>
      </c>
      <c r="B5" s="2" t="s">
        <v>6</v>
      </c>
      <c r="C5" s="2" t="s">
        <v>7</v>
      </c>
    </row>
    <row r="6" spans="1:6" ht="39.950000000000003" customHeight="1">
      <c r="A6" s="2" t="s">
        <v>8</v>
      </c>
      <c r="B6" s="2" t="s">
        <v>9</v>
      </c>
      <c r="C6" s="2" t="s">
        <v>10</v>
      </c>
    </row>
    <row r="7" spans="1:6" ht="39.950000000000003" customHeight="1">
      <c r="A7" s="2" t="s">
        <v>11</v>
      </c>
      <c r="B7" s="2" t="s">
        <v>12</v>
      </c>
      <c r="C7" s="2" t="s">
        <v>13</v>
      </c>
    </row>
    <row r="8" spans="1:6" ht="39.950000000000003" customHeight="1">
      <c r="A8" s="2" t="s">
        <v>14</v>
      </c>
      <c r="B8" s="2" t="s">
        <v>15</v>
      </c>
      <c r="C8" s="2" t="s">
        <v>16</v>
      </c>
    </row>
    <row r="9" spans="1:6" ht="39.950000000000003" customHeight="1">
      <c r="A9" s="2" t="s">
        <v>17</v>
      </c>
      <c r="B9" s="2" t="s">
        <v>18</v>
      </c>
      <c r="C9" s="2" t="s">
        <v>19</v>
      </c>
    </row>
    <row r="10" spans="1:6" ht="39.950000000000003" customHeight="1">
      <c r="A10" s="2" t="s">
        <v>20</v>
      </c>
      <c r="B10" s="2" t="s">
        <v>21</v>
      </c>
      <c r="C10" s="2" t="s">
        <v>22</v>
      </c>
    </row>
    <row r="11" spans="1:6" ht="39.950000000000003" customHeight="1">
      <c r="A11" s="2" t="s">
        <v>23</v>
      </c>
      <c r="B11" s="2" t="s">
        <v>24</v>
      </c>
      <c r="C11" s="2" t="s">
        <v>25</v>
      </c>
    </row>
    <row r="13" spans="1:6" ht="15">
      <c r="A13" s="14" t="s">
        <v>26</v>
      </c>
      <c r="B13" s="14"/>
      <c r="C13" s="14"/>
      <c r="D13" s="14"/>
      <c r="E13" s="14"/>
      <c r="F13" s="14"/>
    </row>
    <row r="14" spans="1:6">
      <c r="A14" s="15" t="s">
        <v>27</v>
      </c>
      <c r="B14" s="15"/>
      <c r="C14" s="15"/>
      <c r="D14" s="15"/>
      <c r="E14" s="15"/>
      <c r="F14" s="15"/>
    </row>
    <row r="15" spans="1:6">
      <c r="A15" s="15"/>
      <c r="B15" s="15"/>
      <c r="C15" s="15"/>
      <c r="D15" s="15"/>
      <c r="E15" s="15"/>
      <c r="F15" s="15"/>
    </row>
    <row r="16" spans="1:6">
      <c r="A16" s="15"/>
      <c r="B16" s="15"/>
      <c r="C16" s="15"/>
      <c r="D16" s="15"/>
      <c r="E16" s="15"/>
      <c r="F16" s="15"/>
    </row>
    <row r="17" spans="1:6">
      <c r="A17" s="15"/>
      <c r="B17" s="15"/>
      <c r="C17" s="15"/>
      <c r="D17" s="15"/>
      <c r="E17" s="15"/>
      <c r="F17" s="15"/>
    </row>
    <row r="18" spans="1:6">
      <c r="A18" s="15"/>
      <c r="B18" s="15"/>
      <c r="C18" s="15"/>
      <c r="D18" s="15"/>
      <c r="E18" s="15"/>
      <c r="F18" s="15"/>
    </row>
  </sheetData>
  <mergeCells count="4">
    <mergeCell ref="A1:F1"/>
    <mergeCell ref="A2:F2"/>
    <mergeCell ref="A13:F13"/>
    <mergeCell ref="A14:F1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5"/>
  <sheetViews>
    <sheetView tabSelected="1" workbookViewId="0">
      <selection activeCell="B14" sqref="B14"/>
    </sheetView>
  </sheetViews>
  <sheetFormatPr defaultRowHeight="14.25"/>
  <cols>
    <col min="1" max="1" width="27" customWidth="1"/>
    <col min="2" max="2" width="38" customWidth="1"/>
    <col min="3" max="3" width="4" customWidth="1"/>
    <col min="4" max="4" width="25" customWidth="1"/>
    <col min="5" max="5" width="18" customWidth="1"/>
    <col min="6" max="8" width="16" customWidth="1"/>
  </cols>
  <sheetData>
    <row r="1" spans="1:8" ht="33.950000000000003" customHeight="1">
      <c r="A1" s="12" t="s">
        <v>28</v>
      </c>
      <c r="B1" s="12"/>
      <c r="C1" s="12"/>
      <c r="D1" s="12"/>
      <c r="E1" s="12"/>
      <c r="F1" s="12"/>
      <c r="G1" s="12"/>
      <c r="H1" s="12"/>
    </row>
    <row r="3" spans="1:8" ht="15">
      <c r="A3" s="4" t="s">
        <v>29</v>
      </c>
      <c r="B3" s="5" t="s">
        <v>152</v>
      </c>
      <c r="D3" s="16" t="s">
        <v>30</v>
      </c>
      <c r="E3" s="16"/>
      <c r="F3" s="16"/>
      <c r="G3" s="16"/>
      <c r="H3" s="16"/>
    </row>
    <row r="4" spans="1:8" ht="15">
      <c r="A4" s="4" t="s">
        <v>31</v>
      </c>
      <c r="B4" s="5" t="s">
        <v>153</v>
      </c>
      <c r="D4" s="3" t="s">
        <v>32</v>
      </c>
      <c r="E4" s="6">
        <f>COUNTA('Design Progress'!A4:A33)</f>
        <v>12</v>
      </c>
    </row>
    <row r="5" spans="1:8" ht="15">
      <c r="A5" s="4" t="s">
        <v>33</v>
      </c>
      <c r="B5" s="5" t="s">
        <v>154</v>
      </c>
      <c r="D5" s="3" t="s">
        <v>34</v>
      </c>
      <c r="E5" s="6">
        <v>12</v>
      </c>
    </row>
    <row r="6" spans="1:8" ht="15">
      <c r="A6" s="4" t="s">
        <v>35</v>
      </c>
      <c r="B6" s="5" t="s">
        <v>188</v>
      </c>
      <c r="D6" s="3" t="s">
        <v>36</v>
      </c>
      <c r="E6" s="6">
        <v>0</v>
      </c>
    </row>
    <row r="7" spans="1:8" ht="15">
      <c r="A7" s="4" t="s">
        <v>37</v>
      </c>
      <c r="B7" s="5">
        <v>10</v>
      </c>
      <c r="D7" s="3" t="s">
        <v>38</v>
      </c>
      <c r="E7" s="6">
        <f>COUNTIF('Design Progress'!G4:G33,"Blocked")</f>
        <v>0</v>
      </c>
    </row>
    <row r="8" spans="1:8" ht="15">
      <c r="A8" s="4" t="s">
        <v>39</v>
      </c>
      <c r="B8" s="5"/>
      <c r="D8" s="3" t="s">
        <v>40</v>
      </c>
      <c r="E8" s="7">
        <v>1</v>
      </c>
    </row>
    <row r="9" spans="1:8" ht="15">
      <c r="A9" s="4" t="s">
        <v>41</v>
      </c>
      <c r="B9" s="5" t="s">
        <v>226</v>
      </c>
    </row>
    <row r="10" spans="1:8" ht="15">
      <c r="A10" s="4" t="s">
        <v>42</v>
      </c>
      <c r="B10" s="5" t="s">
        <v>36</v>
      </c>
      <c r="D10" s="14" t="s">
        <v>44</v>
      </c>
      <c r="E10" s="14"/>
      <c r="F10" s="14"/>
      <c r="G10" s="14"/>
      <c r="H10" s="14"/>
    </row>
    <row r="11" spans="1:8">
      <c r="D11" s="15" t="s">
        <v>45</v>
      </c>
      <c r="E11" s="15"/>
      <c r="F11" s="15"/>
      <c r="G11" s="15"/>
      <c r="H11" s="15"/>
    </row>
    <row r="12" spans="1:8">
      <c r="D12" s="15"/>
      <c r="E12" s="15"/>
      <c r="F12" s="15"/>
      <c r="G12" s="15"/>
      <c r="H12" s="15"/>
    </row>
    <row r="13" spans="1:8">
      <c r="D13" s="15"/>
      <c r="E13" s="15"/>
      <c r="F13" s="15"/>
      <c r="G13" s="15"/>
      <c r="H13" s="15"/>
    </row>
    <row r="14" spans="1:8">
      <c r="D14" s="15"/>
      <c r="E14" s="15"/>
      <c r="F14" s="15"/>
      <c r="G14" s="15"/>
      <c r="H14" s="15"/>
    </row>
    <row r="15" spans="1:8">
      <c r="D15" s="15"/>
      <c r="E15" s="15"/>
      <c r="F15" s="15"/>
      <c r="G15" s="15"/>
      <c r="H15" s="15"/>
    </row>
  </sheetData>
  <mergeCells count="4">
    <mergeCell ref="A1:H1"/>
    <mergeCell ref="D3:H3"/>
    <mergeCell ref="D10:H10"/>
    <mergeCell ref="D11:H15"/>
  </mergeCells>
  <dataValidations count="1">
    <dataValidation type="list" sqref="B10" xr:uid="{00000000-0002-0000-0100-000000000000}">
      <formula1>"Not Started,In Progress,Completed,Blocked"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33"/>
  <sheetViews>
    <sheetView topLeftCell="A11" zoomScale="68" workbookViewId="0">
      <selection activeCell="I15" sqref="I15"/>
    </sheetView>
  </sheetViews>
  <sheetFormatPr defaultRowHeight="14.25"/>
  <cols>
    <col min="1" max="1" width="11" customWidth="1"/>
    <col min="2" max="2" width="26" customWidth="1"/>
    <col min="3" max="3" width="44" customWidth="1"/>
    <col min="4" max="4" width="25" customWidth="1"/>
    <col min="5" max="7" width="15" customWidth="1"/>
    <col min="8" max="8" width="12" customWidth="1"/>
    <col min="9" max="10" width="34" customWidth="1"/>
  </cols>
  <sheetData>
    <row r="1" spans="1:10" ht="33.950000000000003" customHeight="1">
      <c r="A1" s="12" t="s">
        <v>46</v>
      </c>
      <c r="B1" s="12"/>
      <c r="C1" s="12"/>
      <c r="D1" s="12"/>
      <c r="E1" s="12"/>
      <c r="F1" s="12"/>
      <c r="G1" s="12"/>
      <c r="H1" s="12"/>
      <c r="I1" s="12"/>
      <c r="J1" s="12"/>
    </row>
    <row r="3" spans="1:10" ht="30" customHeight="1">
      <c r="A3" s="1" t="s">
        <v>47</v>
      </c>
      <c r="B3" s="1" t="s">
        <v>48</v>
      </c>
      <c r="C3" s="1" t="s">
        <v>49</v>
      </c>
      <c r="D3" s="1" t="s">
        <v>50</v>
      </c>
      <c r="E3" s="1" t="s">
        <v>51</v>
      </c>
      <c r="F3" s="1" t="s">
        <v>52</v>
      </c>
      <c r="G3" s="1" t="s">
        <v>53</v>
      </c>
      <c r="H3" s="1" t="s">
        <v>54</v>
      </c>
      <c r="I3" s="1" t="s">
        <v>55</v>
      </c>
      <c r="J3" s="1" t="s">
        <v>56</v>
      </c>
    </row>
    <row r="4" spans="1:10" ht="99.75">
      <c r="A4" s="2" t="s">
        <v>57</v>
      </c>
      <c r="B4" s="2" t="s">
        <v>58</v>
      </c>
      <c r="C4" s="2" t="s">
        <v>59</v>
      </c>
      <c r="D4" s="5" t="s">
        <v>163</v>
      </c>
      <c r="E4" s="10">
        <v>46283</v>
      </c>
      <c r="F4" s="5" t="s">
        <v>34</v>
      </c>
      <c r="G4" s="5" t="s">
        <v>34</v>
      </c>
      <c r="H4" s="8">
        <v>1</v>
      </c>
      <c r="I4" s="11" t="s">
        <v>171</v>
      </c>
      <c r="J4" s="5"/>
    </row>
    <row r="5" spans="1:10" ht="28.5">
      <c r="A5" s="2" t="s">
        <v>60</v>
      </c>
      <c r="B5" s="2" t="s">
        <v>61</v>
      </c>
      <c r="C5" s="2" t="s">
        <v>62</v>
      </c>
      <c r="D5" s="5" t="s">
        <v>155</v>
      </c>
      <c r="E5" s="10">
        <v>46283</v>
      </c>
      <c r="F5" s="5" t="s">
        <v>34</v>
      </c>
      <c r="G5" s="5" t="s">
        <v>34</v>
      </c>
      <c r="H5" s="8">
        <v>1</v>
      </c>
      <c r="I5" s="11" t="s">
        <v>194</v>
      </c>
      <c r="J5" s="5"/>
    </row>
    <row r="6" spans="1:10" ht="99.75">
      <c r="A6" s="2" t="s">
        <v>63</v>
      </c>
      <c r="B6" s="2" t="s">
        <v>64</v>
      </c>
      <c r="C6" s="2" t="s">
        <v>65</v>
      </c>
      <c r="D6" s="5" t="s">
        <v>156</v>
      </c>
      <c r="E6" s="10">
        <v>46286</v>
      </c>
      <c r="F6" s="5" t="s">
        <v>34</v>
      </c>
      <c r="G6" s="5" t="s">
        <v>34</v>
      </c>
      <c r="H6" s="8">
        <v>1</v>
      </c>
      <c r="I6" s="11" t="s">
        <v>195</v>
      </c>
      <c r="J6" s="5"/>
    </row>
    <row r="7" spans="1:10" ht="128.25">
      <c r="A7" s="2" t="s">
        <v>66</v>
      </c>
      <c r="B7" s="2" t="s">
        <v>67</v>
      </c>
      <c r="C7" s="2" t="s">
        <v>68</v>
      </c>
      <c r="D7" s="5" t="s">
        <v>157</v>
      </c>
      <c r="E7" s="10">
        <v>46286</v>
      </c>
      <c r="F7" s="5" t="s">
        <v>34</v>
      </c>
      <c r="G7" s="5" t="s">
        <v>34</v>
      </c>
      <c r="H7" s="8">
        <v>1</v>
      </c>
      <c r="I7" s="11" t="s">
        <v>193</v>
      </c>
      <c r="J7" s="5"/>
    </row>
    <row r="8" spans="1:10" ht="99.75">
      <c r="A8" s="2" t="s">
        <v>69</v>
      </c>
      <c r="B8" s="2" t="s">
        <v>70</v>
      </c>
      <c r="C8" s="2" t="s">
        <v>71</v>
      </c>
      <c r="D8" s="5" t="s">
        <v>198</v>
      </c>
      <c r="E8" s="10">
        <v>46288</v>
      </c>
      <c r="F8" s="5" t="s">
        <v>34</v>
      </c>
      <c r="G8" s="5" t="s">
        <v>34</v>
      </c>
      <c r="H8" s="8">
        <v>1</v>
      </c>
      <c r="I8" s="11" t="s">
        <v>196</v>
      </c>
      <c r="J8" s="5"/>
    </row>
    <row r="9" spans="1:10" ht="57">
      <c r="A9" s="2" t="s">
        <v>72</v>
      </c>
      <c r="B9" s="2" t="s">
        <v>73</v>
      </c>
      <c r="C9" s="2" t="s">
        <v>74</v>
      </c>
      <c r="D9" s="5" t="s">
        <v>159</v>
      </c>
      <c r="E9" s="10">
        <v>46287</v>
      </c>
      <c r="F9" s="5" t="s">
        <v>34</v>
      </c>
      <c r="G9" s="5" t="s">
        <v>34</v>
      </c>
      <c r="H9" s="8">
        <v>1</v>
      </c>
      <c r="I9" s="11" t="s">
        <v>197</v>
      </c>
      <c r="J9" s="5"/>
    </row>
    <row r="10" spans="1:10" ht="57">
      <c r="A10" s="2" t="s">
        <v>75</v>
      </c>
      <c r="B10" s="2" t="s">
        <v>76</v>
      </c>
      <c r="C10" s="2" t="s">
        <v>77</v>
      </c>
      <c r="D10" s="5" t="s">
        <v>159</v>
      </c>
      <c r="E10" s="10">
        <v>46288</v>
      </c>
      <c r="F10" s="5" t="s">
        <v>34</v>
      </c>
      <c r="G10" s="5" t="s">
        <v>34</v>
      </c>
      <c r="H10" s="8">
        <v>1</v>
      </c>
      <c r="I10" s="11" t="s">
        <v>197</v>
      </c>
      <c r="J10" s="5"/>
    </row>
    <row r="11" spans="1:10" ht="99.75">
      <c r="A11" s="2" t="s">
        <v>78</v>
      </c>
      <c r="B11" s="2" t="s">
        <v>79</v>
      </c>
      <c r="C11" s="2" t="s">
        <v>80</v>
      </c>
      <c r="D11" s="5" t="s">
        <v>198</v>
      </c>
      <c r="E11" s="10">
        <v>46288</v>
      </c>
      <c r="F11" s="5" t="s">
        <v>34</v>
      </c>
      <c r="G11" s="5" t="s">
        <v>34</v>
      </c>
      <c r="H11" s="8">
        <v>1</v>
      </c>
      <c r="I11" s="11" t="s">
        <v>196</v>
      </c>
      <c r="J11" s="5"/>
    </row>
    <row r="12" spans="1:10" ht="28.5">
      <c r="A12" s="2" t="s">
        <v>81</v>
      </c>
      <c r="B12" s="2" t="s">
        <v>82</v>
      </c>
      <c r="C12" s="2" t="s">
        <v>83</v>
      </c>
      <c r="D12" s="5" t="s">
        <v>160</v>
      </c>
      <c r="E12" s="10">
        <v>46280</v>
      </c>
      <c r="F12" s="5" t="s">
        <v>34</v>
      </c>
      <c r="G12" s="5" t="s">
        <v>34</v>
      </c>
      <c r="H12" s="8">
        <v>1</v>
      </c>
      <c r="I12" s="5" t="s">
        <v>82</v>
      </c>
      <c r="J12" s="5"/>
    </row>
    <row r="13" spans="1:10" ht="28.5">
      <c r="A13" s="2" t="s">
        <v>84</v>
      </c>
      <c r="B13" s="2" t="s">
        <v>85</v>
      </c>
      <c r="C13" s="2" t="s">
        <v>86</v>
      </c>
      <c r="D13" s="5" t="s">
        <v>161</v>
      </c>
      <c r="E13" s="10">
        <v>46297</v>
      </c>
      <c r="F13" s="5" t="s">
        <v>34</v>
      </c>
      <c r="G13" s="5" t="s">
        <v>34</v>
      </c>
      <c r="H13" s="8">
        <v>1</v>
      </c>
      <c r="I13" s="5" t="s">
        <v>192</v>
      </c>
      <c r="J13" s="5"/>
    </row>
    <row r="14" spans="1:10" ht="28.5">
      <c r="A14" s="2" t="s">
        <v>87</v>
      </c>
      <c r="B14" s="2" t="s">
        <v>88</v>
      </c>
      <c r="C14" s="2" t="s">
        <v>89</v>
      </c>
      <c r="D14" s="5" t="s">
        <v>162</v>
      </c>
      <c r="E14" s="10">
        <v>46300</v>
      </c>
      <c r="F14" s="5" t="s">
        <v>34</v>
      </c>
      <c r="G14" s="5" t="s">
        <v>34</v>
      </c>
      <c r="H14" s="8">
        <v>1</v>
      </c>
      <c r="I14" s="5"/>
      <c r="J14" s="5"/>
    </row>
    <row r="15" spans="1:10">
      <c r="A15" s="2" t="s">
        <v>90</v>
      </c>
      <c r="B15" s="2" t="s">
        <v>91</v>
      </c>
      <c r="C15" s="2" t="s">
        <v>92</v>
      </c>
      <c r="D15" s="5" t="s">
        <v>162</v>
      </c>
      <c r="E15" s="10">
        <v>46300</v>
      </c>
      <c r="F15" s="5" t="s">
        <v>34</v>
      </c>
      <c r="G15" s="5" t="s">
        <v>34</v>
      </c>
      <c r="H15" s="8">
        <v>1</v>
      </c>
      <c r="I15" s="5"/>
      <c r="J15" s="5"/>
    </row>
    <row r="16" spans="1:10">
      <c r="A16" s="2"/>
      <c r="B16" s="2"/>
      <c r="C16" s="2"/>
      <c r="D16" s="5"/>
      <c r="E16" s="5"/>
      <c r="F16" s="5"/>
      <c r="G16" s="5"/>
      <c r="H16" s="8"/>
      <c r="I16" s="5"/>
      <c r="J16" s="5"/>
    </row>
    <row r="17" spans="1:10">
      <c r="A17" s="2"/>
      <c r="B17" s="2"/>
      <c r="C17" s="2"/>
      <c r="D17" s="5"/>
      <c r="E17" s="5"/>
      <c r="F17" s="5"/>
      <c r="G17" s="5"/>
      <c r="H17" s="8"/>
      <c r="I17" s="5"/>
      <c r="J17" s="5"/>
    </row>
    <row r="18" spans="1:10">
      <c r="A18" s="2"/>
      <c r="B18" s="2"/>
      <c r="C18" s="2"/>
      <c r="D18" s="5"/>
      <c r="E18" s="5"/>
      <c r="F18" s="5"/>
      <c r="G18" s="5"/>
      <c r="H18" s="8"/>
      <c r="I18" s="5"/>
      <c r="J18" s="5"/>
    </row>
    <row r="19" spans="1:10">
      <c r="A19" s="2"/>
      <c r="B19" s="2"/>
      <c r="C19" s="2"/>
      <c r="D19" s="5"/>
      <c r="E19" s="5"/>
      <c r="F19" s="5"/>
      <c r="G19" s="5"/>
      <c r="H19" s="8"/>
      <c r="I19" s="5"/>
      <c r="J19" s="5"/>
    </row>
    <row r="20" spans="1:10">
      <c r="A20" s="2"/>
      <c r="B20" s="2"/>
      <c r="C20" s="2"/>
      <c r="D20" s="5"/>
      <c r="E20" s="5"/>
      <c r="F20" s="5"/>
      <c r="G20" s="5"/>
      <c r="H20" s="8"/>
      <c r="I20" s="5"/>
      <c r="J20" s="5"/>
    </row>
    <row r="21" spans="1:10">
      <c r="A21" s="2"/>
      <c r="B21" s="2"/>
      <c r="C21" s="2"/>
      <c r="D21" s="5"/>
      <c r="E21" s="5"/>
      <c r="F21" s="5"/>
      <c r="G21" s="5"/>
      <c r="H21" s="8"/>
      <c r="I21" s="5"/>
      <c r="J21" s="5"/>
    </row>
    <row r="22" spans="1:10">
      <c r="A22" s="2"/>
      <c r="B22" s="2"/>
      <c r="C22" s="2"/>
      <c r="D22" s="5"/>
      <c r="E22" s="5"/>
      <c r="F22" s="5"/>
      <c r="G22" s="5"/>
      <c r="H22" s="8"/>
      <c r="I22" s="5"/>
      <c r="J22" s="5"/>
    </row>
    <row r="23" spans="1:10">
      <c r="A23" s="2"/>
      <c r="B23" s="2"/>
      <c r="C23" s="2"/>
      <c r="D23" s="5"/>
      <c r="E23" s="5"/>
      <c r="F23" s="5"/>
      <c r="G23" s="5"/>
      <c r="H23" s="8"/>
      <c r="I23" s="5"/>
      <c r="J23" s="5"/>
    </row>
    <row r="24" spans="1:10">
      <c r="A24" s="2"/>
      <c r="B24" s="2"/>
      <c r="C24" s="2"/>
      <c r="D24" s="5"/>
      <c r="E24" s="5"/>
      <c r="F24" s="5"/>
      <c r="G24" s="5"/>
      <c r="H24" s="8"/>
      <c r="I24" s="5"/>
      <c r="J24" s="5"/>
    </row>
    <row r="25" spans="1:10">
      <c r="A25" s="2"/>
      <c r="B25" s="2"/>
      <c r="C25" s="2"/>
      <c r="D25" s="5"/>
      <c r="E25" s="5"/>
      <c r="F25" s="5"/>
      <c r="G25" s="5"/>
      <c r="H25" s="8"/>
      <c r="I25" s="5"/>
      <c r="J25" s="5"/>
    </row>
    <row r="26" spans="1:10">
      <c r="A26" s="2"/>
      <c r="B26" s="2"/>
      <c r="C26" s="2"/>
      <c r="D26" s="5"/>
      <c r="E26" s="5"/>
      <c r="F26" s="5"/>
      <c r="G26" s="5"/>
      <c r="H26" s="8"/>
      <c r="I26" s="5"/>
      <c r="J26" s="5"/>
    </row>
    <row r="27" spans="1:10">
      <c r="A27" s="2"/>
      <c r="B27" s="2"/>
      <c r="C27" s="2"/>
      <c r="D27" s="5"/>
      <c r="E27" s="5"/>
      <c r="F27" s="5"/>
      <c r="G27" s="5"/>
      <c r="H27" s="8"/>
      <c r="I27" s="5"/>
      <c r="J27" s="5"/>
    </row>
    <row r="28" spans="1:10">
      <c r="A28" s="2"/>
      <c r="B28" s="2"/>
      <c r="C28" s="2"/>
      <c r="D28" s="5"/>
      <c r="E28" s="5"/>
      <c r="F28" s="5"/>
      <c r="G28" s="5"/>
      <c r="H28" s="8"/>
      <c r="I28" s="5"/>
      <c r="J28" s="5"/>
    </row>
    <row r="29" spans="1:10">
      <c r="A29" s="2"/>
      <c r="B29" s="2"/>
      <c r="C29" s="2"/>
      <c r="D29" s="5"/>
      <c r="E29" s="5"/>
      <c r="F29" s="5"/>
      <c r="G29" s="5"/>
      <c r="H29" s="8"/>
      <c r="I29" s="5"/>
      <c r="J29" s="5"/>
    </row>
    <row r="30" spans="1:10">
      <c r="A30" s="2"/>
      <c r="B30" s="2"/>
      <c r="C30" s="2"/>
      <c r="D30" s="5"/>
      <c r="E30" s="5"/>
      <c r="F30" s="5"/>
      <c r="G30" s="5"/>
      <c r="H30" s="8"/>
      <c r="I30" s="5"/>
      <c r="J30" s="5"/>
    </row>
    <row r="31" spans="1:10">
      <c r="A31" s="2"/>
      <c r="B31" s="2"/>
      <c r="C31" s="2"/>
      <c r="D31" s="5"/>
      <c r="E31" s="5"/>
      <c r="F31" s="5"/>
      <c r="G31" s="5"/>
      <c r="H31" s="8"/>
      <c r="I31" s="5"/>
      <c r="J31" s="5"/>
    </row>
    <row r="32" spans="1:10">
      <c r="A32" s="2"/>
      <c r="B32" s="2"/>
      <c r="C32" s="2"/>
      <c r="D32" s="5"/>
      <c r="E32" s="5"/>
      <c r="F32" s="5"/>
      <c r="G32" s="5"/>
      <c r="H32" s="8"/>
      <c r="I32" s="5"/>
      <c r="J32" s="5"/>
    </row>
    <row r="33" spans="1:10">
      <c r="A33" s="2"/>
      <c r="B33" s="2"/>
      <c r="C33" s="2"/>
      <c r="D33" s="5"/>
      <c r="E33" s="5"/>
      <c r="F33" s="5"/>
      <c r="G33" s="5"/>
      <c r="H33" s="8"/>
      <c r="I33" s="5"/>
      <c r="J33" s="5"/>
    </row>
  </sheetData>
  <mergeCells count="1">
    <mergeCell ref="A1:J1"/>
  </mergeCells>
  <conditionalFormatting sqref="G4:G33">
    <cfRule type="expression" dxfId="4" priority="1">
      <formula>G4="Completed"</formula>
    </cfRule>
    <cfRule type="expression" dxfId="3" priority="2">
      <formula>G4="Blocked"</formula>
    </cfRule>
  </conditionalFormatting>
  <conditionalFormatting sqref="H4:H33">
    <cfRule type="dataBar" priority="3">
      <dataBar>
        <cfvo type="min"/>
        <cfvo type="max"/>
        <color rgb="FFA02B93"/>
      </dataBar>
    </cfRule>
    <cfRule type="dataBar" priority="4">
      <dataBar>
        <cfvo type="min"/>
        <cfvo type="max"/>
        <color rgb="FFA02B93"/>
      </dataBar>
      <extLst>
        <ext xmlns:x14="http://schemas.microsoft.com/office/spreadsheetml/2009/9/main" uri="{B025F937-C7B1-47D3-B67F-A62EFF666E3E}">
          <x14:id>{A4682585-4117-09FE-7F56-FC8BDAE995FA}</x14:id>
        </ext>
      </extLst>
    </cfRule>
  </conditionalFormatting>
  <dataValidations count="1">
    <dataValidation type="list" sqref="G4:G33" xr:uid="{00000000-0002-0000-0200-000000000000}">
      <formula1>"Not Started,In Progress,Completed,Blocked"</formula1>
    </dataValidation>
  </dataValidations>
  <hyperlinks>
    <hyperlink ref="I9" r:id="rId1" xr:uid="{2E6107C7-A3DE-448D-8CFB-FAA6D2A490C2}"/>
    <hyperlink ref="I4" r:id="rId2" location="Uhttps%3A%2F%2Fdrive.google.com%2Fuc%3Fid%3D1rESYHt5o1iQarVEFVaAx0mJylvMq4XkD%26export%3Ddownload" xr:uid="{2C1AB1D1-B0F7-4D0D-B352-46BFD02BC847}"/>
    <hyperlink ref="I6" r:id="rId3" location="Uhttps%3A%2F%2Fdrive.google.com%2Fuc%3Fid%3D1Lxjyn7C33eKcqnTFqsEF9ZGF_tcGvsgr%26export%3Ddownload" xr:uid="{355BCCA4-7894-4A1D-B30C-EAF1DCC0DE32}"/>
    <hyperlink ref="I7" r:id="rId4" location="Uhttps%3A%2F%2Fdrive.google.com%2Fuc%3Fid%3D1Bkmql88aJhFnxKD1ADPUpkwqfoEABKN5%26export%3Ddownload" xr:uid="{9F80DF1F-1A11-48B5-A1D0-BD96E738EA50}"/>
    <hyperlink ref="I8" r:id="rId5" xr:uid="{06C77801-245F-4264-B312-4FFF247E03F5}"/>
    <hyperlink ref="I10" r:id="rId6" xr:uid="{EDADBB19-03AA-410A-A2EE-55A59051E615}"/>
    <hyperlink ref="I11" r:id="rId7" xr:uid="{9830CD24-744C-46E4-9E52-D326D6F64D32}"/>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4682585-4117-09FE-7F56-FC8BDAE995FA}">
            <x14:dataBar>
              <x14:cfvo type="min"/>
              <x14:cfvo type="max"/>
              <x14:negativeFillColor auto="1"/>
              <x14:axisColor auto="1"/>
            </x14:dataBar>
          </x14:cfRule>
          <xm:sqref>H4:H33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43"/>
  <sheetViews>
    <sheetView topLeftCell="B11" workbookViewId="0">
      <selection activeCell="H17" sqref="H17"/>
    </sheetView>
  </sheetViews>
  <sheetFormatPr defaultRowHeight="14.25"/>
  <cols>
    <col min="1" max="1" width="22" customWidth="1"/>
    <col min="2" max="2" width="16" customWidth="1"/>
    <col min="3" max="3" width="24" customWidth="1"/>
    <col min="4" max="4" width="28" customWidth="1"/>
    <col min="5" max="5" width="40" customWidth="1"/>
    <col min="6" max="6" width="15" customWidth="1"/>
    <col min="7" max="7" width="12" customWidth="1"/>
    <col min="8" max="8" width="34" customWidth="1"/>
    <col min="9" max="10" width="15" customWidth="1"/>
    <col min="11" max="11" width="34" customWidth="1"/>
    <col min="12" max="12" width="16" customWidth="1"/>
  </cols>
  <sheetData>
    <row r="1" spans="1:12" ht="33.950000000000003" customHeight="1">
      <c r="A1" s="12" t="s">
        <v>93</v>
      </c>
      <c r="B1" s="12"/>
      <c r="C1" s="12"/>
      <c r="D1" s="12"/>
      <c r="E1" s="12"/>
      <c r="F1" s="12"/>
      <c r="G1" s="12"/>
      <c r="H1" s="12"/>
      <c r="I1" s="12"/>
      <c r="J1" s="12"/>
      <c r="K1" s="12"/>
      <c r="L1" s="12"/>
    </row>
    <row r="3" spans="1:12" ht="30" customHeight="1">
      <c r="A3" s="1" t="s">
        <v>94</v>
      </c>
      <c r="B3" s="1" t="s">
        <v>95</v>
      </c>
      <c r="C3" s="1" t="s">
        <v>96</v>
      </c>
      <c r="D3" s="1" t="s">
        <v>97</v>
      </c>
      <c r="E3" s="1" t="s">
        <v>98</v>
      </c>
      <c r="F3" s="1" t="s">
        <v>99</v>
      </c>
      <c r="G3" s="1" t="s">
        <v>100</v>
      </c>
      <c r="H3" s="1" t="s">
        <v>55</v>
      </c>
      <c r="I3" s="1" t="s">
        <v>101</v>
      </c>
      <c r="J3" s="1" t="s">
        <v>102</v>
      </c>
      <c r="K3" s="1" t="s">
        <v>103</v>
      </c>
      <c r="L3" s="1" t="s">
        <v>104</v>
      </c>
    </row>
    <row r="4" spans="1:12" ht="42.75">
      <c r="A4" s="5" t="s">
        <v>160</v>
      </c>
      <c r="B4" s="5">
        <v>222010648</v>
      </c>
      <c r="C4" s="5" t="s">
        <v>164</v>
      </c>
      <c r="D4" s="5" t="s">
        <v>165</v>
      </c>
      <c r="E4" s="5" t="s">
        <v>166</v>
      </c>
      <c r="F4" s="10">
        <v>46280</v>
      </c>
      <c r="G4" s="5" t="s">
        <v>167</v>
      </c>
      <c r="H4" s="5" t="s">
        <v>82</v>
      </c>
      <c r="I4" s="5" t="s">
        <v>168</v>
      </c>
      <c r="J4" s="10">
        <v>46290</v>
      </c>
      <c r="K4" s="5"/>
      <c r="L4" s="5" t="s">
        <v>34</v>
      </c>
    </row>
    <row r="5" spans="1:12" ht="99.75">
      <c r="A5" s="5" t="s">
        <v>163</v>
      </c>
      <c r="B5" s="5">
        <v>221008431</v>
      </c>
      <c r="C5" s="5" t="s">
        <v>169</v>
      </c>
      <c r="D5" s="5" t="s">
        <v>199</v>
      </c>
      <c r="E5" s="5" t="s">
        <v>200</v>
      </c>
      <c r="F5" s="10">
        <v>46283</v>
      </c>
      <c r="G5" s="5" t="s">
        <v>170</v>
      </c>
      <c r="H5" s="11" t="s">
        <v>171</v>
      </c>
      <c r="I5" s="5" t="s">
        <v>168</v>
      </c>
      <c r="J5" s="10">
        <v>46290</v>
      </c>
      <c r="K5" s="5"/>
      <c r="L5" s="5" t="s">
        <v>34</v>
      </c>
    </row>
    <row r="6" spans="1:12" ht="42.75">
      <c r="A6" s="5" t="s">
        <v>172</v>
      </c>
      <c r="B6" s="5">
        <v>222078169</v>
      </c>
      <c r="C6" s="5" t="s">
        <v>173</v>
      </c>
      <c r="D6" s="5" t="s">
        <v>174</v>
      </c>
      <c r="E6" s="5" t="s">
        <v>175</v>
      </c>
      <c r="F6" s="10">
        <v>46283</v>
      </c>
      <c r="G6" s="5" t="s">
        <v>170</v>
      </c>
      <c r="H6" s="11" t="s">
        <v>194</v>
      </c>
      <c r="I6" s="5" t="s">
        <v>168</v>
      </c>
      <c r="J6" s="10">
        <v>46290</v>
      </c>
      <c r="K6" s="5"/>
      <c r="L6" s="5" t="s">
        <v>34</v>
      </c>
    </row>
    <row r="7" spans="1:12" ht="71.25">
      <c r="A7" s="5" t="s">
        <v>176</v>
      </c>
      <c r="B7" s="5">
        <v>221014651</v>
      </c>
      <c r="C7" s="5" t="s">
        <v>173</v>
      </c>
      <c r="D7" s="5" t="s">
        <v>174</v>
      </c>
      <c r="E7" s="5" t="s">
        <v>177</v>
      </c>
      <c r="F7" s="10">
        <v>46283</v>
      </c>
      <c r="G7" s="5" t="s">
        <v>170</v>
      </c>
      <c r="H7" s="11" t="s">
        <v>194</v>
      </c>
      <c r="I7" s="5" t="s">
        <v>168</v>
      </c>
      <c r="J7" s="10">
        <v>46290</v>
      </c>
      <c r="K7" s="5"/>
      <c r="L7" s="5" t="s">
        <v>34</v>
      </c>
    </row>
    <row r="8" spans="1:12" ht="99.75">
      <c r="A8" s="5" t="s">
        <v>156</v>
      </c>
      <c r="B8" s="5">
        <v>221019628</v>
      </c>
      <c r="C8" s="5" t="s">
        <v>183</v>
      </c>
      <c r="D8" s="5" t="s">
        <v>182</v>
      </c>
      <c r="E8" s="5" t="s">
        <v>179</v>
      </c>
      <c r="F8" s="10">
        <v>46286</v>
      </c>
      <c r="G8" s="5" t="s">
        <v>180</v>
      </c>
      <c r="H8" s="11" t="s">
        <v>195</v>
      </c>
      <c r="I8" s="5" t="s">
        <v>168</v>
      </c>
      <c r="J8" s="10">
        <v>46290</v>
      </c>
      <c r="K8" s="5"/>
      <c r="L8" s="5" t="s">
        <v>34</v>
      </c>
    </row>
    <row r="9" spans="1:12" ht="128.25">
      <c r="A9" s="5" t="s">
        <v>157</v>
      </c>
      <c r="B9" s="5">
        <v>221003714</v>
      </c>
      <c r="C9" s="5" t="s">
        <v>183</v>
      </c>
      <c r="D9" s="5" t="s">
        <v>181</v>
      </c>
      <c r="E9" s="5" t="s">
        <v>179</v>
      </c>
      <c r="F9" s="10">
        <v>46286</v>
      </c>
      <c r="G9" s="5" t="s">
        <v>180</v>
      </c>
      <c r="H9" s="11" t="s">
        <v>193</v>
      </c>
      <c r="I9" s="5" t="s">
        <v>168</v>
      </c>
      <c r="J9" s="10">
        <v>46290</v>
      </c>
      <c r="K9" s="5"/>
      <c r="L9" s="5" t="s">
        <v>34</v>
      </c>
    </row>
    <row r="10" spans="1:12" ht="99.75">
      <c r="A10" s="5" t="s">
        <v>158</v>
      </c>
      <c r="B10" s="5">
        <v>221049921</v>
      </c>
      <c r="C10" s="5" t="s">
        <v>173</v>
      </c>
      <c r="D10" s="5" t="s">
        <v>184</v>
      </c>
      <c r="E10" s="5" t="s">
        <v>185</v>
      </c>
      <c r="F10" s="10">
        <v>46288</v>
      </c>
      <c r="G10" s="5" t="s">
        <v>186</v>
      </c>
      <c r="H10" s="11" t="s">
        <v>196</v>
      </c>
      <c r="I10" s="5" t="s">
        <v>168</v>
      </c>
      <c r="J10" s="10">
        <v>46290</v>
      </c>
      <c r="K10" s="5"/>
      <c r="L10" s="5" t="s">
        <v>34</v>
      </c>
    </row>
    <row r="11" spans="1:12" ht="99.75">
      <c r="A11" s="5" t="s">
        <v>188</v>
      </c>
      <c r="B11" s="5">
        <v>221014841</v>
      </c>
      <c r="C11" s="5" t="s">
        <v>173</v>
      </c>
      <c r="D11" s="5" t="s">
        <v>184</v>
      </c>
      <c r="E11" s="5" t="s">
        <v>187</v>
      </c>
      <c r="F11" s="10">
        <v>46288</v>
      </c>
      <c r="G11" s="5" t="s">
        <v>186</v>
      </c>
      <c r="H11" s="11" t="s">
        <v>196</v>
      </c>
      <c r="I11" s="5" t="s">
        <v>168</v>
      </c>
      <c r="J11" s="10">
        <v>46290</v>
      </c>
      <c r="K11" s="5"/>
      <c r="L11" s="5" t="s">
        <v>34</v>
      </c>
    </row>
    <row r="12" spans="1:12" ht="57">
      <c r="A12" s="5" t="s">
        <v>159</v>
      </c>
      <c r="B12" s="5">
        <v>222001265</v>
      </c>
      <c r="C12" s="5" t="s">
        <v>178</v>
      </c>
      <c r="D12" s="5" t="s">
        <v>201</v>
      </c>
      <c r="E12" s="5" t="s">
        <v>202</v>
      </c>
      <c r="F12" s="10">
        <v>46287</v>
      </c>
      <c r="G12" s="5" t="s">
        <v>189</v>
      </c>
      <c r="H12" s="11" t="s">
        <v>197</v>
      </c>
      <c r="I12" s="5" t="s">
        <v>168</v>
      </c>
      <c r="J12" s="10">
        <v>46290</v>
      </c>
      <c r="K12" s="5"/>
      <c r="L12" s="5" t="s">
        <v>34</v>
      </c>
    </row>
    <row r="13" spans="1:12" ht="57">
      <c r="A13" s="5" t="s">
        <v>161</v>
      </c>
      <c r="B13" s="5">
        <v>223043312</v>
      </c>
      <c r="C13" s="5" t="s">
        <v>178</v>
      </c>
      <c r="D13" s="5" t="s">
        <v>191</v>
      </c>
      <c r="E13" s="5" t="s">
        <v>190</v>
      </c>
      <c r="F13" s="10">
        <v>46297</v>
      </c>
      <c r="G13" s="5" t="s">
        <v>225</v>
      </c>
      <c r="H13" s="5" t="s">
        <v>192</v>
      </c>
      <c r="I13" s="5" t="s">
        <v>168</v>
      </c>
      <c r="J13" s="10">
        <v>46300</v>
      </c>
      <c r="K13" s="5"/>
      <c r="L13" s="5" t="s">
        <v>34</v>
      </c>
    </row>
    <row r="14" spans="1:12">
      <c r="A14" s="5"/>
      <c r="B14" s="5"/>
      <c r="C14" s="5"/>
      <c r="D14" s="5"/>
      <c r="E14" s="5"/>
      <c r="F14" s="5"/>
      <c r="G14" s="5"/>
      <c r="H14" s="5"/>
      <c r="I14" s="5" t="s">
        <v>105</v>
      </c>
      <c r="J14" s="5"/>
      <c r="K14" s="5"/>
      <c r="L14" s="5" t="s">
        <v>43</v>
      </c>
    </row>
    <row r="15" spans="1:12">
      <c r="A15" s="5"/>
      <c r="B15" s="5"/>
      <c r="C15" s="5"/>
      <c r="D15" s="5"/>
      <c r="E15" s="5"/>
      <c r="F15" s="5"/>
      <c r="G15" s="5"/>
      <c r="H15" s="5"/>
      <c r="I15" s="5" t="s">
        <v>105</v>
      </c>
      <c r="J15" s="5"/>
      <c r="K15" s="5"/>
      <c r="L15" s="5" t="s">
        <v>43</v>
      </c>
    </row>
    <row r="16" spans="1:12">
      <c r="A16" s="5"/>
      <c r="B16" s="5"/>
      <c r="C16" s="5"/>
      <c r="D16" s="5"/>
      <c r="E16" s="5"/>
      <c r="F16" s="5"/>
      <c r="G16" s="5"/>
      <c r="H16" s="5"/>
      <c r="I16" s="5" t="s">
        <v>105</v>
      </c>
      <c r="J16" s="5"/>
      <c r="K16" s="5"/>
      <c r="L16" s="5" t="s">
        <v>43</v>
      </c>
    </row>
    <row r="17" spans="1:12">
      <c r="A17" s="5"/>
      <c r="B17" s="5"/>
      <c r="C17" s="5"/>
      <c r="D17" s="5"/>
      <c r="E17" s="5"/>
      <c r="F17" s="5"/>
      <c r="G17" s="5"/>
      <c r="H17" s="5"/>
      <c r="I17" s="5" t="s">
        <v>105</v>
      </c>
      <c r="J17" s="5"/>
      <c r="K17" s="5"/>
      <c r="L17" s="5" t="s">
        <v>43</v>
      </c>
    </row>
    <row r="18" spans="1:12">
      <c r="A18" s="5"/>
      <c r="B18" s="5"/>
      <c r="C18" s="5"/>
      <c r="D18" s="5"/>
      <c r="E18" s="5"/>
      <c r="F18" s="5"/>
      <c r="G18" s="5"/>
      <c r="H18" s="5"/>
      <c r="I18" s="5" t="s">
        <v>105</v>
      </c>
      <c r="J18" s="5"/>
      <c r="K18" s="5"/>
      <c r="L18" s="5" t="s">
        <v>43</v>
      </c>
    </row>
    <row r="19" spans="1:12">
      <c r="A19" s="5"/>
      <c r="B19" s="5"/>
      <c r="C19" s="5"/>
      <c r="D19" s="5"/>
      <c r="E19" s="5"/>
      <c r="F19" s="5"/>
      <c r="G19" s="5"/>
      <c r="H19" s="5"/>
      <c r="I19" s="5" t="s">
        <v>105</v>
      </c>
      <c r="J19" s="5"/>
      <c r="K19" s="5"/>
      <c r="L19" s="5" t="s">
        <v>43</v>
      </c>
    </row>
    <row r="20" spans="1:12">
      <c r="A20" s="5"/>
      <c r="B20" s="5"/>
      <c r="C20" s="5"/>
      <c r="D20" s="5"/>
      <c r="E20" s="5"/>
      <c r="F20" s="5"/>
      <c r="G20" s="5"/>
      <c r="H20" s="5"/>
      <c r="I20" s="5" t="s">
        <v>105</v>
      </c>
      <c r="J20" s="5"/>
      <c r="K20" s="5"/>
      <c r="L20" s="5" t="s">
        <v>43</v>
      </c>
    </row>
    <row r="21" spans="1:12">
      <c r="A21" s="5"/>
      <c r="B21" s="5"/>
      <c r="C21" s="5"/>
      <c r="D21" s="5"/>
      <c r="E21" s="5"/>
      <c r="F21" s="5"/>
      <c r="G21" s="5"/>
      <c r="H21" s="5"/>
      <c r="I21" s="5" t="s">
        <v>105</v>
      </c>
      <c r="J21" s="5"/>
      <c r="K21" s="5"/>
      <c r="L21" s="5" t="s">
        <v>43</v>
      </c>
    </row>
    <row r="22" spans="1:12">
      <c r="A22" s="5"/>
      <c r="B22" s="5"/>
      <c r="C22" s="5"/>
      <c r="D22" s="5"/>
      <c r="E22" s="5"/>
      <c r="F22" s="5"/>
      <c r="G22" s="5"/>
      <c r="H22" s="5"/>
      <c r="I22" s="5" t="s">
        <v>105</v>
      </c>
      <c r="J22" s="5"/>
      <c r="K22" s="5"/>
      <c r="L22" s="5" t="s">
        <v>43</v>
      </c>
    </row>
    <row r="23" spans="1:12">
      <c r="A23" s="5"/>
      <c r="B23" s="5"/>
      <c r="C23" s="5"/>
      <c r="D23" s="5"/>
      <c r="E23" s="5"/>
      <c r="F23" s="5"/>
      <c r="G23" s="5"/>
      <c r="H23" s="5"/>
      <c r="I23" s="5" t="s">
        <v>105</v>
      </c>
      <c r="J23" s="5"/>
      <c r="K23" s="5"/>
      <c r="L23" s="5" t="s">
        <v>43</v>
      </c>
    </row>
    <row r="24" spans="1:12">
      <c r="A24" s="5"/>
      <c r="B24" s="5"/>
      <c r="C24" s="5"/>
      <c r="D24" s="5"/>
      <c r="E24" s="5"/>
      <c r="F24" s="5"/>
      <c r="G24" s="5"/>
      <c r="H24" s="5"/>
      <c r="I24" s="5" t="s">
        <v>105</v>
      </c>
      <c r="J24" s="5"/>
      <c r="K24" s="5"/>
      <c r="L24" s="5" t="s">
        <v>43</v>
      </c>
    </row>
    <row r="25" spans="1:12">
      <c r="A25" s="5"/>
      <c r="B25" s="5"/>
      <c r="C25" s="5"/>
      <c r="D25" s="5"/>
      <c r="E25" s="5"/>
      <c r="F25" s="5"/>
      <c r="G25" s="5"/>
      <c r="H25" s="5"/>
      <c r="I25" s="5" t="s">
        <v>105</v>
      </c>
      <c r="J25" s="5"/>
      <c r="K25" s="5"/>
      <c r="L25" s="5" t="s">
        <v>43</v>
      </c>
    </row>
    <row r="26" spans="1:12">
      <c r="A26" s="5"/>
      <c r="B26" s="5"/>
      <c r="C26" s="5"/>
      <c r="D26" s="5"/>
      <c r="E26" s="5"/>
      <c r="F26" s="5"/>
      <c r="G26" s="5"/>
      <c r="H26" s="5"/>
      <c r="I26" s="5" t="s">
        <v>105</v>
      </c>
      <c r="J26" s="5"/>
      <c r="K26" s="5"/>
      <c r="L26" s="5" t="s">
        <v>43</v>
      </c>
    </row>
    <row r="27" spans="1:12">
      <c r="A27" s="5"/>
      <c r="B27" s="5"/>
      <c r="C27" s="5"/>
      <c r="D27" s="5"/>
      <c r="E27" s="5"/>
      <c r="F27" s="5"/>
      <c r="G27" s="5"/>
      <c r="H27" s="5"/>
      <c r="I27" s="5" t="s">
        <v>105</v>
      </c>
      <c r="J27" s="5"/>
      <c r="K27" s="5"/>
      <c r="L27" s="5" t="s">
        <v>43</v>
      </c>
    </row>
    <row r="28" spans="1:12">
      <c r="A28" s="5"/>
      <c r="B28" s="5"/>
      <c r="C28" s="5"/>
      <c r="D28" s="5"/>
      <c r="E28" s="5"/>
      <c r="F28" s="5"/>
      <c r="G28" s="5"/>
      <c r="H28" s="5"/>
      <c r="I28" s="5" t="s">
        <v>105</v>
      </c>
      <c r="J28" s="5"/>
      <c r="K28" s="5"/>
      <c r="L28" s="5" t="s">
        <v>43</v>
      </c>
    </row>
    <row r="29" spans="1:12">
      <c r="A29" s="5"/>
      <c r="B29" s="5"/>
      <c r="C29" s="5"/>
      <c r="D29" s="5"/>
      <c r="E29" s="5"/>
      <c r="F29" s="5"/>
      <c r="G29" s="5"/>
      <c r="H29" s="5"/>
      <c r="I29" s="5" t="s">
        <v>105</v>
      </c>
      <c r="J29" s="5"/>
      <c r="K29" s="5"/>
      <c r="L29" s="5" t="s">
        <v>43</v>
      </c>
    </row>
    <row r="30" spans="1:12">
      <c r="A30" s="5"/>
      <c r="B30" s="5"/>
      <c r="C30" s="5"/>
      <c r="D30" s="5"/>
      <c r="E30" s="5"/>
      <c r="F30" s="5"/>
      <c r="G30" s="5"/>
      <c r="H30" s="5"/>
      <c r="I30" s="5" t="s">
        <v>105</v>
      </c>
      <c r="J30" s="5"/>
      <c r="K30" s="5"/>
      <c r="L30" s="5" t="s">
        <v>43</v>
      </c>
    </row>
    <row r="31" spans="1:12">
      <c r="A31" s="5"/>
      <c r="B31" s="5"/>
      <c r="C31" s="5"/>
      <c r="D31" s="5"/>
      <c r="E31" s="5"/>
      <c r="F31" s="5"/>
      <c r="G31" s="5"/>
      <c r="H31" s="5"/>
      <c r="I31" s="5" t="s">
        <v>105</v>
      </c>
      <c r="J31" s="5"/>
      <c r="K31" s="5"/>
      <c r="L31" s="5" t="s">
        <v>43</v>
      </c>
    </row>
    <row r="32" spans="1:12">
      <c r="A32" s="5"/>
      <c r="B32" s="5"/>
      <c r="C32" s="5"/>
      <c r="D32" s="5"/>
      <c r="E32" s="5"/>
      <c r="F32" s="5"/>
      <c r="G32" s="5"/>
      <c r="H32" s="5"/>
      <c r="I32" s="5" t="s">
        <v>105</v>
      </c>
      <c r="J32" s="5"/>
      <c r="K32" s="5"/>
      <c r="L32" s="5" t="s">
        <v>43</v>
      </c>
    </row>
    <row r="33" spans="1:12">
      <c r="A33" s="5"/>
      <c r="B33" s="5"/>
      <c r="C33" s="5"/>
      <c r="D33" s="5"/>
      <c r="E33" s="5"/>
      <c r="F33" s="5"/>
      <c r="G33" s="5"/>
      <c r="H33" s="5"/>
      <c r="I33" s="5" t="s">
        <v>105</v>
      </c>
      <c r="J33" s="5"/>
      <c r="K33" s="5"/>
      <c r="L33" s="5" t="s">
        <v>43</v>
      </c>
    </row>
    <row r="34" spans="1:12">
      <c r="A34" s="5"/>
      <c r="B34" s="5"/>
      <c r="C34" s="5"/>
      <c r="D34" s="5"/>
      <c r="E34" s="5"/>
      <c r="F34" s="5"/>
      <c r="G34" s="5"/>
      <c r="H34" s="5"/>
      <c r="I34" s="5" t="s">
        <v>105</v>
      </c>
      <c r="J34" s="5"/>
      <c r="K34" s="5"/>
      <c r="L34" s="5" t="s">
        <v>43</v>
      </c>
    </row>
    <row r="35" spans="1:12">
      <c r="A35" s="5"/>
      <c r="B35" s="5"/>
      <c r="C35" s="5"/>
      <c r="D35" s="5"/>
      <c r="E35" s="5"/>
      <c r="F35" s="5"/>
      <c r="G35" s="5"/>
      <c r="H35" s="5"/>
      <c r="I35" s="5" t="s">
        <v>105</v>
      </c>
      <c r="J35" s="5"/>
      <c r="K35" s="5"/>
      <c r="L35" s="5" t="s">
        <v>43</v>
      </c>
    </row>
    <row r="36" spans="1:12">
      <c r="A36" s="5"/>
      <c r="B36" s="5"/>
      <c r="C36" s="5"/>
      <c r="D36" s="5"/>
      <c r="E36" s="5"/>
      <c r="F36" s="5"/>
      <c r="G36" s="5"/>
      <c r="H36" s="5"/>
      <c r="I36" s="5" t="s">
        <v>105</v>
      </c>
      <c r="J36" s="5"/>
      <c r="K36" s="5"/>
      <c r="L36" s="5" t="s">
        <v>43</v>
      </c>
    </row>
    <row r="37" spans="1:12">
      <c r="A37" s="5"/>
      <c r="B37" s="5"/>
      <c r="C37" s="5"/>
      <c r="D37" s="5"/>
      <c r="E37" s="5"/>
      <c r="F37" s="5"/>
      <c r="G37" s="5"/>
      <c r="H37" s="5"/>
      <c r="I37" s="5" t="s">
        <v>105</v>
      </c>
      <c r="J37" s="5"/>
      <c r="K37" s="5"/>
      <c r="L37" s="5" t="s">
        <v>43</v>
      </c>
    </row>
    <row r="38" spans="1:12">
      <c r="A38" s="5"/>
      <c r="B38" s="5"/>
      <c r="C38" s="5"/>
      <c r="D38" s="5"/>
      <c r="E38" s="5"/>
      <c r="F38" s="5"/>
      <c r="G38" s="5"/>
      <c r="H38" s="5"/>
      <c r="I38" s="5" t="s">
        <v>105</v>
      </c>
      <c r="J38" s="5"/>
      <c r="K38" s="5"/>
      <c r="L38" s="5" t="s">
        <v>43</v>
      </c>
    </row>
    <row r="39" spans="1:12">
      <c r="A39" s="5"/>
      <c r="B39" s="5"/>
      <c r="C39" s="5"/>
      <c r="D39" s="5"/>
      <c r="E39" s="5"/>
      <c r="F39" s="5"/>
      <c r="G39" s="5"/>
      <c r="H39" s="5"/>
      <c r="I39" s="5" t="s">
        <v>105</v>
      </c>
      <c r="J39" s="5"/>
      <c r="K39" s="5"/>
      <c r="L39" s="5" t="s">
        <v>43</v>
      </c>
    </row>
    <row r="40" spans="1:12">
      <c r="A40" s="5"/>
      <c r="B40" s="5"/>
      <c r="C40" s="5"/>
      <c r="D40" s="5"/>
      <c r="E40" s="5"/>
      <c r="F40" s="5"/>
      <c r="G40" s="5"/>
      <c r="H40" s="5"/>
      <c r="I40" s="5" t="s">
        <v>105</v>
      </c>
      <c r="J40" s="5"/>
      <c r="K40" s="5"/>
      <c r="L40" s="5" t="s">
        <v>43</v>
      </c>
    </row>
    <row r="41" spans="1:12">
      <c r="A41" s="5"/>
      <c r="B41" s="5"/>
      <c r="C41" s="5"/>
      <c r="D41" s="5"/>
      <c r="E41" s="5"/>
      <c r="F41" s="5"/>
      <c r="G41" s="5"/>
      <c r="H41" s="5"/>
      <c r="I41" s="5" t="s">
        <v>105</v>
      </c>
      <c r="J41" s="5"/>
      <c r="K41" s="5"/>
      <c r="L41" s="5" t="s">
        <v>43</v>
      </c>
    </row>
    <row r="42" spans="1:12">
      <c r="A42" s="5"/>
      <c r="B42" s="5"/>
      <c r="C42" s="5"/>
      <c r="D42" s="5"/>
      <c r="E42" s="5"/>
      <c r="F42" s="5"/>
      <c r="G42" s="5"/>
      <c r="H42" s="5"/>
      <c r="I42" s="5" t="s">
        <v>105</v>
      </c>
      <c r="J42" s="5"/>
      <c r="K42" s="5"/>
      <c r="L42" s="5" t="s">
        <v>43</v>
      </c>
    </row>
    <row r="43" spans="1:12">
      <c r="A43" s="5"/>
      <c r="B43" s="5"/>
      <c r="C43" s="5"/>
      <c r="D43" s="5"/>
      <c r="E43" s="5"/>
      <c r="F43" s="5"/>
      <c r="G43" s="5"/>
      <c r="H43" s="5"/>
      <c r="I43" s="5" t="s">
        <v>105</v>
      </c>
      <c r="J43" s="5"/>
      <c r="K43" s="5"/>
      <c r="L43" s="5" t="s">
        <v>43</v>
      </c>
    </row>
  </sheetData>
  <mergeCells count="1">
    <mergeCell ref="A1:L1"/>
  </mergeCells>
  <conditionalFormatting sqref="L4:L43">
    <cfRule type="expression" dxfId="2" priority="1">
      <formula>L4="Completed"</formula>
    </cfRule>
  </conditionalFormatting>
  <dataValidations count="2">
    <dataValidation type="list" sqref="I4:I43" xr:uid="{00000000-0002-0000-0300-000000000000}">
      <formula1>"Yes,No"</formula1>
    </dataValidation>
    <dataValidation type="list" sqref="L4:L43" xr:uid="{00000000-0002-0000-0300-000001000000}">
      <formula1>"Not Started,In Progress,Completed,Blocked"</formula1>
    </dataValidation>
  </dataValidations>
  <hyperlinks>
    <hyperlink ref="H9" r:id="rId1" location="Uhttps%3A%2F%2Fdrive.google.com%2Fuc%3Fid%3D1Bkmql88aJhFnxKD1ADPUpkwqfoEABKN5%26export%3Ddownload" xr:uid="{B5CA926F-E857-47A9-871C-FC293A7D2038}"/>
    <hyperlink ref="H5" r:id="rId2" location="Uhttps%3A%2F%2Fdrive.google.com%2Fuc%3Fid%3D1rESYHt5o1iQarVEFVaAx0mJylvMq4XkD%26export%3Ddownload" xr:uid="{E7DC9E2A-B1B2-4857-A0D4-98129109304F}"/>
    <hyperlink ref="H6" r:id="rId3" xr:uid="{E019AB39-1D4E-467F-8F27-98AF09926AC2}"/>
    <hyperlink ref="H7" r:id="rId4" xr:uid="{69B67A7E-F5DF-4731-9108-D2B26EA17B5F}"/>
    <hyperlink ref="H8" r:id="rId5" location="Uhttps%3A%2F%2Fdrive.google.com%2Fuc%3Fid%3D1Lxjyn7C33eKcqnTFqsEF9ZGF_tcGvsgr%26export%3Ddownload" xr:uid="{DBC01AE3-04B8-416B-9595-44BE25A3933E}"/>
    <hyperlink ref="H10" r:id="rId6" xr:uid="{7487445C-39DC-478E-A0C1-51E26435126C}"/>
    <hyperlink ref="H11" r:id="rId7" xr:uid="{6CCC7B2B-D020-47F7-8043-90FE30930310}"/>
    <hyperlink ref="H12" r:id="rId8" xr:uid="{69D4528E-61E1-4387-8E6E-26DBAC7C450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1"/>
  <sheetViews>
    <sheetView topLeftCell="A8" workbookViewId="0">
      <selection activeCell="C11" sqref="C11"/>
    </sheetView>
  </sheetViews>
  <sheetFormatPr defaultRowHeight="14.25"/>
  <cols>
    <col min="1" max="1" width="28" customWidth="1"/>
    <col min="2" max="2" width="20" customWidth="1"/>
    <col min="3" max="3" width="44" customWidth="1"/>
    <col min="4" max="4" width="20" customWidth="1"/>
    <col min="5" max="5" width="15" customWidth="1"/>
    <col min="6" max="6" width="23" customWidth="1"/>
    <col min="7" max="7" width="16" customWidth="1"/>
    <col min="8" max="8" width="34" customWidth="1"/>
  </cols>
  <sheetData>
    <row r="1" spans="1:8" ht="33.950000000000003" customHeight="1">
      <c r="A1" s="12" t="s">
        <v>106</v>
      </c>
      <c r="B1" s="12"/>
      <c r="C1" s="12"/>
      <c r="D1" s="12"/>
      <c r="E1" s="12"/>
      <c r="F1" s="12"/>
      <c r="G1" s="12"/>
      <c r="H1" s="12"/>
    </row>
    <row r="3" spans="1:8" ht="30" customHeight="1">
      <c r="A3" s="1" t="s">
        <v>107</v>
      </c>
      <c r="B3" s="1" t="s">
        <v>108</v>
      </c>
      <c r="C3" s="1" t="s">
        <v>109</v>
      </c>
      <c r="D3" s="1" t="s">
        <v>110</v>
      </c>
      <c r="E3" s="1" t="s">
        <v>111</v>
      </c>
      <c r="F3" s="1" t="s">
        <v>112</v>
      </c>
      <c r="G3" s="1" t="s">
        <v>113</v>
      </c>
      <c r="H3" s="1" t="s">
        <v>114</v>
      </c>
    </row>
    <row r="4" spans="1:8" ht="85.5">
      <c r="A4" t="s">
        <v>58</v>
      </c>
      <c r="B4" s="5" t="s">
        <v>215</v>
      </c>
      <c r="C4" s="11" t="s">
        <v>171</v>
      </c>
      <c r="D4" s="5" t="s">
        <v>168</v>
      </c>
      <c r="E4" s="10">
        <v>46283</v>
      </c>
      <c r="F4" s="5" t="s">
        <v>163</v>
      </c>
      <c r="G4" s="5" t="s">
        <v>168</v>
      </c>
      <c r="H4" s="5"/>
    </row>
    <row r="5" spans="1:8">
      <c r="A5" t="s">
        <v>61</v>
      </c>
      <c r="B5" s="5" t="s">
        <v>205</v>
      </c>
      <c r="C5" s="11" t="s">
        <v>194</v>
      </c>
      <c r="D5" s="5" t="s">
        <v>168</v>
      </c>
      <c r="E5" s="10">
        <v>46283</v>
      </c>
      <c r="F5" s="5" t="s">
        <v>155</v>
      </c>
      <c r="G5" s="5" t="s">
        <v>168</v>
      </c>
      <c r="H5" s="5"/>
    </row>
    <row r="6" spans="1:8" ht="85.5">
      <c r="A6" t="s">
        <v>64</v>
      </c>
      <c r="B6" s="5" t="s">
        <v>215</v>
      </c>
      <c r="C6" s="11" t="s">
        <v>195</v>
      </c>
      <c r="D6" s="5" t="s">
        <v>168</v>
      </c>
      <c r="E6" s="10">
        <v>46286</v>
      </c>
      <c r="F6" s="5" t="s">
        <v>156</v>
      </c>
      <c r="G6" s="5" t="s">
        <v>168</v>
      </c>
      <c r="H6" s="5"/>
    </row>
    <row r="7" spans="1:8" ht="99.75">
      <c r="A7" t="s">
        <v>67</v>
      </c>
      <c r="B7" s="5" t="s">
        <v>215</v>
      </c>
      <c r="C7" s="11" t="s">
        <v>193</v>
      </c>
      <c r="D7" s="5" t="s">
        <v>168</v>
      </c>
      <c r="E7" s="10">
        <v>46286</v>
      </c>
      <c r="F7" s="5" t="s">
        <v>157</v>
      </c>
      <c r="G7" s="5" t="s">
        <v>168</v>
      </c>
      <c r="H7" s="5"/>
    </row>
    <row r="8" spans="1:8" ht="57">
      <c r="A8" t="s">
        <v>70</v>
      </c>
      <c r="B8" s="5" t="s">
        <v>204</v>
      </c>
      <c r="C8" s="11" t="s">
        <v>196</v>
      </c>
      <c r="D8" s="5" t="s">
        <v>168</v>
      </c>
      <c r="E8" s="10">
        <v>46288</v>
      </c>
      <c r="F8" s="5" t="s">
        <v>198</v>
      </c>
      <c r="G8" s="5" t="s">
        <v>168</v>
      </c>
      <c r="H8" s="5"/>
    </row>
    <row r="9" spans="1:8" ht="42.75">
      <c r="A9" t="s">
        <v>73</v>
      </c>
      <c r="B9" s="5" t="s">
        <v>203</v>
      </c>
      <c r="C9" s="11" t="s">
        <v>197</v>
      </c>
      <c r="D9" s="5" t="s">
        <v>168</v>
      </c>
      <c r="E9" s="10">
        <v>46287</v>
      </c>
      <c r="F9" s="5" t="s">
        <v>159</v>
      </c>
      <c r="G9" s="5" t="s">
        <v>168</v>
      </c>
      <c r="H9" s="5"/>
    </row>
    <row r="10" spans="1:8" ht="42.75">
      <c r="A10" t="s">
        <v>76</v>
      </c>
      <c r="B10" s="5" t="s">
        <v>203</v>
      </c>
      <c r="C10" s="11" t="s">
        <v>197</v>
      </c>
      <c r="D10" s="5" t="s">
        <v>168</v>
      </c>
      <c r="E10" s="10">
        <v>46287</v>
      </c>
      <c r="F10" s="5" t="s">
        <v>159</v>
      </c>
      <c r="G10" s="5" t="s">
        <v>168</v>
      </c>
      <c r="H10" s="5"/>
    </row>
    <row r="11" spans="1:8" ht="42.75">
      <c r="A11" t="s">
        <v>115</v>
      </c>
      <c r="B11" s="5" t="s">
        <v>203</v>
      </c>
      <c r="C11" s="11" t="s">
        <v>197</v>
      </c>
      <c r="D11" s="5" t="s">
        <v>168</v>
      </c>
      <c r="E11" s="10">
        <v>46287</v>
      </c>
      <c r="F11" s="5" t="s">
        <v>159</v>
      </c>
      <c r="G11" s="5" t="s">
        <v>168</v>
      </c>
      <c r="H11" s="5"/>
    </row>
  </sheetData>
  <mergeCells count="1">
    <mergeCell ref="A1:H1"/>
  </mergeCells>
  <dataValidations count="1">
    <dataValidation type="list" sqref="D4:D11 G4:G11" xr:uid="{00000000-0002-0000-0400-000000000000}">
      <formula1>"Yes,No"</formula1>
    </dataValidation>
  </dataValidations>
  <hyperlinks>
    <hyperlink ref="C4" r:id="rId1" location="Uhttps%3A%2F%2Fdrive.google.com%2Fuc%3Fid%3D1rESYHt5o1iQarVEFVaAx0mJylvMq4XkD%26export%3Ddownload" xr:uid="{BC28DF17-63E6-47BC-BA78-B6935EDD0CDA}"/>
    <hyperlink ref="C5" r:id="rId2" xr:uid="{9F01BBAD-8F77-45FC-9D84-2003B71C6FD4}"/>
    <hyperlink ref="C6" r:id="rId3" location="Uhttps%3A%2F%2Fdrive.google.com%2Fuc%3Fid%3D1Lxjyn7C33eKcqnTFqsEF9ZGF_tcGvsgr%26export%3Ddownload" xr:uid="{2AF1EAE9-F8D1-49EF-AF7D-566C521146B1}"/>
    <hyperlink ref="C7" r:id="rId4" location="Uhttps%3A%2F%2Fdrive.google.com%2Fuc%3Fid%3D1Bkmql88aJhFnxKD1ADPUpkwqfoEABKN5%26export%3Ddownload" xr:uid="{AE6E4056-F5FA-416E-B7C3-AA75D0E1F713}"/>
    <hyperlink ref="C8" r:id="rId5" xr:uid="{DBB043FB-01CA-4628-BB08-82C86E442EF8}"/>
    <hyperlink ref="C9" r:id="rId6" xr:uid="{82B08C55-5769-410C-8DEB-7239FC87F6D9}"/>
    <hyperlink ref="C10" r:id="rId7" xr:uid="{1556F12A-BF1A-4FAC-98A4-EE50F9FF4D7D}"/>
    <hyperlink ref="C11" r:id="rId8" xr:uid="{49C44A4D-C997-4F89-A7C8-D236FCEC3BF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33"/>
  <sheetViews>
    <sheetView topLeftCell="B3" workbookViewId="0">
      <selection activeCell="H5" sqref="H5"/>
    </sheetView>
  </sheetViews>
  <sheetFormatPr defaultRowHeight="14.25"/>
  <cols>
    <col min="1" max="1" width="15" customWidth="1"/>
    <col min="2" max="2" width="32" customWidth="1"/>
    <col min="3" max="3" width="34" customWidth="1"/>
    <col min="4" max="4" width="38" customWidth="1"/>
    <col min="5" max="5" width="24" customWidth="1"/>
    <col min="6" max="8" width="15" customWidth="1"/>
    <col min="9" max="9" width="32" customWidth="1"/>
  </cols>
  <sheetData>
    <row r="1" spans="1:9" ht="33.950000000000003" customHeight="1">
      <c r="A1" s="12" t="s">
        <v>116</v>
      </c>
      <c r="B1" s="12"/>
      <c r="C1" s="12"/>
      <c r="D1" s="12"/>
      <c r="E1" s="12"/>
      <c r="F1" s="12"/>
      <c r="G1" s="12"/>
      <c r="H1" s="12"/>
      <c r="I1" s="12"/>
    </row>
    <row r="3" spans="1:9" ht="30" customHeight="1">
      <c r="A3" s="1" t="s">
        <v>117</v>
      </c>
      <c r="B3" s="1" t="s">
        <v>118</v>
      </c>
      <c r="C3" s="1" t="s">
        <v>119</v>
      </c>
      <c r="D3" s="1" t="s">
        <v>120</v>
      </c>
      <c r="E3" s="1" t="s">
        <v>112</v>
      </c>
      <c r="F3" s="1" t="s">
        <v>121</v>
      </c>
      <c r="G3" s="1" t="s">
        <v>53</v>
      </c>
      <c r="H3" s="1" t="s">
        <v>122</v>
      </c>
      <c r="I3" s="1" t="s">
        <v>114</v>
      </c>
    </row>
    <row r="4" spans="1:9" ht="71.25">
      <c r="A4" s="10">
        <v>46279</v>
      </c>
      <c r="B4" s="5" t="s">
        <v>206</v>
      </c>
      <c r="C4" s="5" t="s">
        <v>207</v>
      </c>
      <c r="D4" s="5" t="s">
        <v>208</v>
      </c>
      <c r="E4" s="5" t="s">
        <v>162</v>
      </c>
      <c r="F4" s="10">
        <v>46280</v>
      </c>
      <c r="G4" s="5" t="s">
        <v>34</v>
      </c>
      <c r="H4" s="10">
        <v>46280</v>
      </c>
      <c r="I4" s="5"/>
    </row>
    <row r="5" spans="1:9" ht="85.5">
      <c r="A5" s="10">
        <v>46272</v>
      </c>
      <c r="B5" s="5" t="s">
        <v>209</v>
      </c>
      <c r="C5" s="5" t="s">
        <v>210</v>
      </c>
      <c r="D5" s="5" t="s">
        <v>211</v>
      </c>
      <c r="E5" s="5" t="s">
        <v>159</v>
      </c>
      <c r="F5" s="10">
        <v>46274</v>
      </c>
      <c r="G5" s="5" t="s">
        <v>34</v>
      </c>
      <c r="H5" s="10">
        <v>46274</v>
      </c>
      <c r="I5" s="5"/>
    </row>
    <row r="6" spans="1:9">
      <c r="A6" s="5"/>
      <c r="B6" s="5"/>
      <c r="C6" s="5"/>
      <c r="D6" s="5"/>
      <c r="E6" s="5"/>
      <c r="F6" s="5"/>
      <c r="G6" s="5" t="s">
        <v>43</v>
      </c>
      <c r="H6" s="5"/>
      <c r="I6" s="5"/>
    </row>
    <row r="7" spans="1:9">
      <c r="A7" s="5"/>
      <c r="B7" s="5"/>
      <c r="C7" s="5"/>
      <c r="D7" s="5"/>
      <c r="E7" s="5"/>
      <c r="F7" s="5"/>
      <c r="G7" s="5" t="s">
        <v>43</v>
      </c>
      <c r="H7" s="5"/>
      <c r="I7" s="5"/>
    </row>
    <row r="8" spans="1:9">
      <c r="A8" s="5"/>
      <c r="B8" s="5"/>
      <c r="C8" s="5"/>
      <c r="D8" s="5"/>
      <c r="E8" s="5"/>
      <c r="F8" s="5"/>
      <c r="G8" s="5" t="s">
        <v>43</v>
      </c>
      <c r="H8" s="5"/>
      <c r="I8" s="5"/>
    </row>
    <row r="9" spans="1:9">
      <c r="A9" s="5"/>
      <c r="B9" s="5"/>
      <c r="C9" s="5"/>
      <c r="D9" s="5"/>
      <c r="E9" s="5"/>
      <c r="F9" s="5"/>
      <c r="G9" s="5" t="s">
        <v>43</v>
      </c>
      <c r="H9" s="5"/>
      <c r="I9" s="5"/>
    </row>
    <row r="10" spans="1:9">
      <c r="A10" s="5"/>
      <c r="B10" s="5"/>
      <c r="C10" s="5"/>
      <c r="D10" s="5"/>
      <c r="E10" s="5"/>
      <c r="F10" s="5"/>
      <c r="G10" s="5" t="s">
        <v>43</v>
      </c>
      <c r="H10" s="5"/>
      <c r="I10" s="5"/>
    </row>
    <row r="11" spans="1:9">
      <c r="A11" s="5"/>
      <c r="B11" s="5"/>
      <c r="C11" s="5"/>
      <c r="D11" s="5"/>
      <c r="E11" s="5"/>
      <c r="F11" s="5"/>
      <c r="G11" s="5" t="s">
        <v>43</v>
      </c>
      <c r="H11" s="5"/>
      <c r="I11" s="5"/>
    </row>
    <row r="12" spans="1:9">
      <c r="A12" s="5"/>
      <c r="B12" s="5"/>
      <c r="C12" s="5"/>
      <c r="D12" s="5"/>
      <c r="E12" s="5"/>
      <c r="F12" s="5"/>
      <c r="G12" s="5" t="s">
        <v>43</v>
      </c>
      <c r="H12" s="5"/>
      <c r="I12" s="5"/>
    </row>
    <row r="13" spans="1:9">
      <c r="A13" s="5"/>
      <c r="B13" s="5"/>
      <c r="C13" s="5"/>
      <c r="D13" s="5"/>
      <c r="E13" s="5"/>
      <c r="F13" s="5"/>
      <c r="G13" s="5" t="s">
        <v>43</v>
      </c>
      <c r="H13" s="5"/>
      <c r="I13" s="5"/>
    </row>
    <row r="14" spans="1:9">
      <c r="A14" s="5"/>
      <c r="B14" s="5"/>
      <c r="C14" s="5"/>
      <c r="D14" s="5"/>
      <c r="E14" s="5"/>
      <c r="F14" s="5"/>
      <c r="G14" s="5" t="s">
        <v>43</v>
      </c>
      <c r="H14" s="5"/>
      <c r="I14" s="5"/>
    </row>
    <row r="15" spans="1:9">
      <c r="A15" s="5"/>
      <c r="B15" s="5"/>
      <c r="C15" s="5"/>
      <c r="D15" s="5"/>
      <c r="E15" s="5"/>
      <c r="F15" s="5"/>
      <c r="G15" s="5" t="s">
        <v>43</v>
      </c>
      <c r="H15" s="5"/>
      <c r="I15" s="5"/>
    </row>
    <row r="16" spans="1:9">
      <c r="A16" s="5"/>
      <c r="B16" s="5"/>
      <c r="C16" s="5"/>
      <c r="D16" s="5"/>
      <c r="E16" s="5"/>
      <c r="F16" s="5"/>
      <c r="G16" s="5" t="s">
        <v>43</v>
      </c>
      <c r="H16" s="5"/>
      <c r="I16" s="5"/>
    </row>
    <row r="17" spans="1:9">
      <c r="A17" s="5"/>
      <c r="B17" s="5"/>
      <c r="C17" s="5"/>
      <c r="D17" s="5"/>
      <c r="E17" s="5"/>
      <c r="F17" s="5"/>
      <c r="G17" s="5" t="s">
        <v>43</v>
      </c>
      <c r="H17" s="5"/>
      <c r="I17" s="5"/>
    </row>
    <row r="18" spans="1:9">
      <c r="A18" s="5"/>
      <c r="B18" s="5"/>
      <c r="C18" s="5"/>
      <c r="D18" s="5"/>
      <c r="E18" s="5"/>
      <c r="F18" s="5"/>
      <c r="G18" s="5" t="s">
        <v>43</v>
      </c>
      <c r="H18" s="5"/>
      <c r="I18" s="5"/>
    </row>
    <row r="19" spans="1:9">
      <c r="A19" s="5"/>
      <c r="B19" s="5"/>
      <c r="C19" s="5"/>
      <c r="D19" s="5"/>
      <c r="E19" s="5"/>
      <c r="F19" s="5"/>
      <c r="G19" s="5" t="s">
        <v>43</v>
      </c>
      <c r="H19" s="5"/>
      <c r="I19" s="5"/>
    </row>
    <row r="20" spans="1:9">
      <c r="A20" s="5"/>
      <c r="B20" s="5"/>
      <c r="C20" s="5"/>
      <c r="D20" s="5"/>
      <c r="E20" s="5"/>
      <c r="F20" s="5"/>
      <c r="G20" s="5" t="s">
        <v>43</v>
      </c>
      <c r="H20" s="5"/>
      <c r="I20" s="5"/>
    </row>
    <row r="21" spans="1:9">
      <c r="A21" s="5"/>
      <c r="B21" s="5"/>
      <c r="C21" s="5"/>
      <c r="D21" s="5"/>
      <c r="E21" s="5"/>
      <c r="F21" s="5"/>
      <c r="G21" s="5" t="s">
        <v>43</v>
      </c>
      <c r="H21" s="5"/>
      <c r="I21" s="5"/>
    </row>
    <row r="22" spans="1:9">
      <c r="A22" s="5"/>
      <c r="B22" s="5"/>
      <c r="C22" s="5"/>
      <c r="D22" s="5"/>
      <c r="E22" s="5"/>
      <c r="F22" s="5"/>
      <c r="G22" s="5" t="s">
        <v>43</v>
      </c>
      <c r="H22" s="5"/>
      <c r="I22" s="5"/>
    </row>
    <row r="23" spans="1:9">
      <c r="A23" s="5"/>
      <c r="B23" s="5"/>
      <c r="C23" s="5"/>
      <c r="D23" s="5"/>
      <c r="E23" s="5"/>
      <c r="F23" s="5"/>
      <c r="G23" s="5" t="s">
        <v>43</v>
      </c>
      <c r="H23" s="5"/>
      <c r="I23" s="5"/>
    </row>
    <row r="24" spans="1:9">
      <c r="A24" s="5"/>
      <c r="B24" s="5"/>
      <c r="C24" s="5"/>
      <c r="D24" s="5"/>
      <c r="E24" s="5"/>
      <c r="F24" s="5"/>
      <c r="G24" s="5" t="s">
        <v>43</v>
      </c>
      <c r="H24" s="5"/>
      <c r="I24" s="5"/>
    </row>
    <row r="25" spans="1:9">
      <c r="A25" s="5"/>
      <c r="B25" s="5"/>
      <c r="C25" s="5"/>
      <c r="D25" s="5"/>
      <c r="E25" s="5"/>
      <c r="F25" s="5"/>
      <c r="G25" s="5" t="s">
        <v>43</v>
      </c>
      <c r="H25" s="5"/>
      <c r="I25" s="5"/>
    </row>
    <row r="26" spans="1:9">
      <c r="A26" s="5"/>
      <c r="B26" s="5"/>
      <c r="C26" s="5"/>
      <c r="D26" s="5"/>
      <c r="E26" s="5"/>
      <c r="F26" s="5"/>
      <c r="G26" s="5" t="s">
        <v>43</v>
      </c>
      <c r="H26" s="5"/>
      <c r="I26" s="5"/>
    </row>
    <row r="27" spans="1:9">
      <c r="A27" s="5"/>
      <c r="B27" s="5"/>
      <c r="C27" s="5"/>
      <c r="D27" s="5"/>
      <c r="E27" s="5"/>
      <c r="F27" s="5"/>
      <c r="G27" s="5" t="s">
        <v>43</v>
      </c>
      <c r="H27" s="5"/>
      <c r="I27" s="5"/>
    </row>
    <row r="28" spans="1:9">
      <c r="A28" s="5"/>
      <c r="B28" s="5"/>
      <c r="C28" s="5"/>
      <c r="D28" s="5"/>
      <c r="E28" s="5"/>
      <c r="F28" s="5"/>
      <c r="G28" s="5" t="s">
        <v>43</v>
      </c>
      <c r="H28" s="5"/>
      <c r="I28" s="5"/>
    </row>
    <row r="29" spans="1:9">
      <c r="A29" s="5"/>
      <c r="B29" s="5"/>
      <c r="C29" s="5"/>
      <c r="D29" s="5"/>
      <c r="E29" s="5"/>
      <c r="F29" s="5"/>
      <c r="G29" s="5" t="s">
        <v>43</v>
      </c>
      <c r="H29" s="5"/>
      <c r="I29" s="5"/>
    </row>
    <row r="30" spans="1:9">
      <c r="A30" s="5"/>
      <c r="B30" s="5"/>
      <c r="C30" s="5"/>
      <c r="D30" s="5"/>
      <c r="E30" s="5"/>
      <c r="F30" s="5"/>
      <c r="G30" s="5" t="s">
        <v>43</v>
      </c>
      <c r="H30" s="5"/>
      <c r="I30" s="5"/>
    </row>
    <row r="31" spans="1:9">
      <c r="A31" s="5"/>
      <c r="B31" s="5"/>
      <c r="C31" s="5"/>
      <c r="D31" s="5"/>
      <c r="E31" s="5"/>
      <c r="F31" s="5"/>
      <c r="G31" s="5" t="s">
        <v>43</v>
      </c>
      <c r="H31" s="5"/>
      <c r="I31" s="5"/>
    </row>
    <row r="32" spans="1:9">
      <c r="A32" s="5"/>
      <c r="B32" s="5"/>
      <c r="C32" s="5"/>
      <c r="D32" s="5"/>
      <c r="E32" s="5"/>
      <c r="F32" s="5"/>
      <c r="G32" s="5" t="s">
        <v>43</v>
      </c>
      <c r="H32" s="5"/>
      <c r="I32" s="5"/>
    </row>
    <row r="33" spans="1:9">
      <c r="A33" s="5"/>
      <c r="B33" s="5"/>
      <c r="C33" s="5"/>
      <c r="D33" s="5"/>
      <c r="E33" s="5"/>
      <c r="F33" s="5"/>
      <c r="G33" s="5" t="s">
        <v>43</v>
      </c>
      <c r="H33" s="5"/>
      <c r="I33" s="5"/>
    </row>
  </sheetData>
  <mergeCells count="1">
    <mergeCell ref="A1:I1"/>
  </mergeCells>
  <conditionalFormatting sqref="G4:G33">
    <cfRule type="expression" dxfId="1" priority="1">
      <formula>G4="Completed"</formula>
    </cfRule>
    <cfRule type="expression" dxfId="0" priority="2">
      <formula>G4="Blocked"</formula>
    </cfRule>
  </conditionalFormatting>
  <dataValidations count="1">
    <dataValidation type="list" sqref="G4:G33" xr:uid="{00000000-0002-0000-0500-000000000000}">
      <formula1>"Not Started,In Progress,Completed,Blocked"</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6"/>
  <sheetViews>
    <sheetView topLeftCell="A5" workbookViewId="0">
      <selection activeCell="H12" sqref="H12"/>
    </sheetView>
  </sheetViews>
  <sheetFormatPr defaultRowHeight="14.25"/>
  <cols>
    <col min="1" max="1" width="34.25" bestFit="1" customWidth="1"/>
    <col min="2" max="3" width="34" customWidth="1"/>
    <col min="4" max="4" width="4" customWidth="1"/>
    <col min="5" max="5" width="24" bestFit="1" customWidth="1"/>
    <col min="6" max="6" width="4" bestFit="1" customWidth="1"/>
  </cols>
  <sheetData>
    <row r="1" spans="1:6" ht="33.950000000000003" customHeight="1">
      <c r="A1" s="12" t="s">
        <v>30</v>
      </c>
      <c r="B1" s="12"/>
      <c r="C1" s="12"/>
      <c r="D1" s="12"/>
      <c r="E1" s="12"/>
      <c r="F1" s="12"/>
    </row>
    <row r="3" spans="1:6" ht="30" customHeight="1">
      <c r="A3" s="4" t="s">
        <v>41</v>
      </c>
      <c r="B3" s="17" t="s">
        <v>212</v>
      </c>
      <c r="C3" s="17"/>
      <c r="E3" s="1" t="s">
        <v>123</v>
      </c>
      <c r="F3" s="1" t="s">
        <v>124</v>
      </c>
    </row>
    <row r="4" spans="1:6" ht="15">
      <c r="A4" s="4" t="s">
        <v>42</v>
      </c>
      <c r="B4" s="17" t="s">
        <v>34</v>
      </c>
      <c r="C4" s="17"/>
      <c r="E4" t="s">
        <v>125</v>
      </c>
      <c r="F4" s="5" t="s">
        <v>168</v>
      </c>
    </row>
    <row r="5" spans="1:6" ht="52.15" customHeight="1">
      <c r="A5" s="4" t="s">
        <v>126</v>
      </c>
      <c r="B5" s="18" t="s">
        <v>223</v>
      </c>
      <c r="C5" s="18"/>
      <c r="E5" t="s">
        <v>127</v>
      </c>
      <c r="F5" s="5" t="s">
        <v>168</v>
      </c>
    </row>
    <row r="6" spans="1:6" ht="40.15" customHeight="1">
      <c r="A6" s="4" t="s">
        <v>128</v>
      </c>
      <c r="B6" s="17" t="s">
        <v>224</v>
      </c>
      <c r="C6" s="17"/>
      <c r="E6" t="s">
        <v>129</v>
      </c>
      <c r="F6" s="5" t="s">
        <v>168</v>
      </c>
    </row>
    <row r="7" spans="1:6" ht="15">
      <c r="A7" s="4" t="s">
        <v>130</v>
      </c>
      <c r="B7" s="17" t="s">
        <v>224</v>
      </c>
      <c r="C7" s="17"/>
      <c r="E7" t="s">
        <v>131</v>
      </c>
      <c r="F7" s="5" t="s">
        <v>168</v>
      </c>
    </row>
    <row r="8" spans="1:6" ht="30">
      <c r="A8" s="4" t="s">
        <v>132</v>
      </c>
      <c r="B8" s="17" t="s">
        <v>216</v>
      </c>
      <c r="C8" s="17"/>
      <c r="E8" t="s">
        <v>133</v>
      </c>
      <c r="F8" s="5" t="s">
        <v>168</v>
      </c>
    </row>
    <row r="9" spans="1:6" ht="15">
      <c r="A9" s="4" t="s">
        <v>134</v>
      </c>
      <c r="B9" s="17" t="s">
        <v>168</v>
      </c>
      <c r="C9" s="17"/>
      <c r="E9" t="s">
        <v>135</v>
      </c>
      <c r="F9" s="5" t="s">
        <v>168</v>
      </c>
    </row>
    <row r="10" spans="1:6" ht="30">
      <c r="A10" s="4" t="s">
        <v>136</v>
      </c>
      <c r="B10" s="17" t="s">
        <v>214</v>
      </c>
      <c r="C10" s="17"/>
      <c r="E10" t="s">
        <v>137</v>
      </c>
      <c r="F10" s="5" t="s">
        <v>168</v>
      </c>
    </row>
    <row r="11" spans="1:6" ht="30.6" customHeight="1">
      <c r="A11" s="4" t="s">
        <v>138</v>
      </c>
      <c r="B11" s="17" t="s">
        <v>213</v>
      </c>
      <c r="C11" s="17"/>
      <c r="E11" t="s">
        <v>139</v>
      </c>
      <c r="F11" s="5" t="s">
        <v>168</v>
      </c>
    </row>
    <row r="12" spans="1:6">
      <c r="E12" t="s">
        <v>140</v>
      </c>
      <c r="F12" s="5" t="s">
        <v>168</v>
      </c>
    </row>
    <row r="13" spans="1:6">
      <c r="E13" t="s">
        <v>141</v>
      </c>
      <c r="F13" s="5" t="s">
        <v>168</v>
      </c>
    </row>
    <row r="14" spans="1:6">
      <c r="E14" t="s">
        <v>142</v>
      </c>
      <c r="F14" s="5" t="s">
        <v>168</v>
      </c>
    </row>
    <row r="15" spans="1:6">
      <c r="E15" t="s">
        <v>143</v>
      </c>
      <c r="F15" s="5" t="s">
        <v>168</v>
      </c>
    </row>
    <row r="16" spans="1:6">
      <c r="E16" t="s">
        <v>144</v>
      </c>
      <c r="F16" s="5" t="s">
        <v>168</v>
      </c>
    </row>
  </sheetData>
  <mergeCells count="10">
    <mergeCell ref="A1:F1"/>
    <mergeCell ref="B3:C3"/>
    <mergeCell ref="B4:C4"/>
    <mergeCell ref="B5:C5"/>
    <mergeCell ref="B6:C6"/>
    <mergeCell ref="B7:C7"/>
    <mergeCell ref="B8:C8"/>
    <mergeCell ref="B9:C9"/>
    <mergeCell ref="B10:C10"/>
    <mergeCell ref="B11:C11"/>
  </mergeCells>
  <dataValidations count="2">
    <dataValidation type="list" sqref="B4" xr:uid="{00000000-0002-0000-0600-000000000000}">
      <formula1>"Not Started,In Progress,Completed,Blocked"</formula1>
    </dataValidation>
    <dataValidation type="list" sqref="F4:F16" xr:uid="{00000000-0002-0000-0600-000001000000}">
      <formula1>"Yes,No"</formula1>
    </dataValidation>
  </dataValidation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5"/>
  <sheetViews>
    <sheetView topLeftCell="A7" workbookViewId="0">
      <selection activeCell="A8" sqref="A8:F9"/>
    </sheetView>
  </sheetViews>
  <sheetFormatPr defaultRowHeight="14.25"/>
  <cols>
    <col min="1" max="6" width="24" customWidth="1"/>
  </cols>
  <sheetData>
    <row r="1" spans="1:6" ht="33.950000000000003" customHeight="1">
      <c r="A1" s="12" t="s">
        <v>145</v>
      </c>
      <c r="B1" s="12"/>
      <c r="C1" s="12"/>
      <c r="D1" s="12"/>
      <c r="E1" s="12"/>
      <c r="F1" s="12"/>
    </row>
    <row r="3" spans="1:6" ht="27.95" customHeight="1">
      <c r="A3" s="19" t="s">
        <v>146</v>
      </c>
      <c r="B3" s="19"/>
      <c r="C3" s="19"/>
      <c r="D3" s="19"/>
      <c r="E3" s="19"/>
      <c r="F3" s="19"/>
    </row>
    <row r="4" spans="1:6" ht="38.1" customHeight="1">
      <c r="A4" s="22" t="s">
        <v>218</v>
      </c>
      <c r="B4" s="22"/>
      <c r="C4" s="22"/>
      <c r="D4" s="22"/>
      <c r="E4" s="22"/>
      <c r="F4" s="22"/>
    </row>
    <row r="5" spans="1:6" ht="38.1" customHeight="1">
      <c r="A5" s="22"/>
      <c r="B5" s="22"/>
      <c r="C5" s="22"/>
      <c r="D5" s="22"/>
      <c r="E5" s="22"/>
      <c r="F5" s="22"/>
    </row>
    <row r="6" spans="1:6" ht="30" customHeight="1">
      <c r="A6" s="9"/>
      <c r="B6" s="9"/>
      <c r="C6" s="9"/>
      <c r="D6" s="9"/>
      <c r="E6" s="9"/>
      <c r="F6" s="9"/>
    </row>
    <row r="7" spans="1:6" ht="27.95" customHeight="1">
      <c r="A7" s="23" t="s">
        <v>147</v>
      </c>
      <c r="B7" s="23"/>
      <c r="C7" s="23"/>
      <c r="D7" s="23"/>
      <c r="E7" s="23"/>
      <c r="F7" s="23"/>
    </row>
    <row r="8" spans="1:6" ht="38.1" customHeight="1">
      <c r="A8" s="22" t="s">
        <v>217</v>
      </c>
      <c r="B8" s="22"/>
      <c r="C8" s="22"/>
      <c r="D8" s="22"/>
      <c r="E8" s="22"/>
      <c r="F8" s="22"/>
    </row>
    <row r="9" spans="1:6" ht="38.1" customHeight="1">
      <c r="A9" s="17"/>
      <c r="B9" s="17"/>
      <c r="C9" s="17"/>
      <c r="D9" s="17"/>
      <c r="E9" s="17"/>
      <c r="F9" s="17"/>
    </row>
    <row r="10" spans="1:6" ht="42" customHeight="1">
      <c r="A10" s="5"/>
      <c r="B10" s="5"/>
      <c r="C10" s="5"/>
      <c r="D10" s="5"/>
      <c r="E10" s="5"/>
      <c r="F10" s="5"/>
    </row>
    <row r="11" spans="1:6" ht="27.95" customHeight="1">
      <c r="A11" s="19" t="s">
        <v>148</v>
      </c>
      <c r="B11" s="19"/>
      <c r="C11" s="19"/>
      <c r="D11" s="19"/>
      <c r="E11" s="19"/>
      <c r="F11" s="19"/>
    </row>
    <row r="12" spans="1:6" ht="38.1" customHeight="1">
      <c r="A12" s="17" t="s">
        <v>222</v>
      </c>
      <c r="B12" s="17"/>
      <c r="C12" s="17"/>
      <c r="D12" s="17"/>
      <c r="E12" s="17"/>
      <c r="F12" s="17"/>
    </row>
    <row r="13" spans="1:6" ht="38.1" customHeight="1">
      <c r="A13" s="17"/>
      <c r="B13" s="17"/>
      <c r="C13" s="17"/>
      <c r="D13" s="17"/>
      <c r="E13" s="17"/>
      <c r="F13" s="17"/>
    </row>
    <row r="15" spans="1:6" ht="27.95" customHeight="1">
      <c r="A15" s="19" t="s">
        <v>149</v>
      </c>
      <c r="B15" s="19"/>
      <c r="C15" s="19"/>
      <c r="D15" s="19"/>
      <c r="E15" s="19"/>
      <c r="F15" s="19"/>
    </row>
    <row r="16" spans="1:6" ht="38.1" customHeight="1">
      <c r="A16" s="20" t="s">
        <v>219</v>
      </c>
      <c r="B16" s="21"/>
      <c r="C16" s="21"/>
      <c r="D16" s="21"/>
      <c r="E16" s="21"/>
      <c r="F16" s="21"/>
    </row>
    <row r="17" spans="1:6" ht="38.1" customHeight="1">
      <c r="A17" s="21"/>
      <c r="B17" s="21"/>
      <c r="C17" s="21"/>
      <c r="D17" s="21"/>
      <c r="E17" s="21"/>
      <c r="F17" s="21"/>
    </row>
    <row r="19" spans="1:6" ht="27.95" customHeight="1">
      <c r="A19" s="19" t="s">
        <v>150</v>
      </c>
      <c r="B19" s="19"/>
      <c r="C19" s="19"/>
      <c r="D19" s="19"/>
      <c r="E19" s="19"/>
      <c r="F19" s="19"/>
    </row>
    <row r="20" spans="1:6" ht="38.1" customHeight="1">
      <c r="A20" s="17" t="s">
        <v>221</v>
      </c>
      <c r="B20" s="17"/>
      <c r="C20" s="17"/>
      <c r="D20" s="17"/>
      <c r="E20" s="17"/>
      <c r="F20" s="17"/>
    </row>
    <row r="21" spans="1:6" ht="38.1" customHeight="1">
      <c r="A21" s="17"/>
      <c r="B21" s="17"/>
      <c r="C21" s="17"/>
      <c r="D21" s="17"/>
      <c r="E21" s="17"/>
      <c r="F21" s="17"/>
    </row>
    <row r="23" spans="1:6" ht="27.95" customHeight="1">
      <c r="A23" s="19" t="s">
        <v>151</v>
      </c>
      <c r="B23" s="19"/>
      <c r="C23" s="19"/>
      <c r="D23" s="19"/>
      <c r="E23" s="19"/>
      <c r="F23" s="19"/>
    </row>
    <row r="24" spans="1:6" ht="38.1" customHeight="1">
      <c r="A24" s="17" t="s">
        <v>220</v>
      </c>
      <c r="B24" s="17"/>
      <c r="C24" s="17"/>
      <c r="D24" s="17"/>
      <c r="E24" s="17"/>
      <c r="F24" s="17"/>
    </row>
    <row r="25" spans="1:6" ht="38.1" customHeight="1">
      <c r="A25" s="17"/>
      <c r="B25" s="17"/>
      <c r="C25" s="17"/>
      <c r="D25" s="17"/>
      <c r="E25" s="17"/>
      <c r="F25" s="17"/>
    </row>
  </sheetData>
  <mergeCells count="13">
    <mergeCell ref="A1:F1"/>
    <mergeCell ref="A3:F3"/>
    <mergeCell ref="A4:F5"/>
    <mergeCell ref="A7:F7"/>
    <mergeCell ref="A8:F9"/>
    <mergeCell ref="A20:F21"/>
    <mergeCell ref="A23:F23"/>
    <mergeCell ref="A24:F25"/>
    <mergeCell ref="A16:F17"/>
    <mergeCell ref="A11:F11"/>
    <mergeCell ref="A12:F13"/>
    <mergeCell ref="A15:F15"/>
    <mergeCell ref="A19:F19"/>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Instructions</vt:lpstr>
      <vt:lpstr>Project Overview</vt:lpstr>
      <vt:lpstr>Design Progress</vt:lpstr>
      <vt:lpstr>Individual Contributions</vt:lpstr>
      <vt:lpstr>Design Source Links</vt:lpstr>
      <vt:lpstr>Challenges &amp; Actions</vt:lpstr>
      <vt:lpstr>Phase Summary</vt:lpstr>
      <vt:lpstr>Group Reflection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Tshepiso Choeu</dc:creator>
  <cp:lastModifiedBy>Tshepiso Choeu</cp:lastModifiedBy>
  <dcterms:created xsi:type="dcterms:W3CDTF">2026-10-08T20:18:09Z</dcterms:created>
  <dcterms:modified xsi:type="dcterms:W3CDTF">2026-10-12T20:11:29Z</dcterms:modified>
</cp:coreProperties>
</file>