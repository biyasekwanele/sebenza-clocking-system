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shep\Downloads\"/>
    </mc:Choice>
  </mc:AlternateContent>
  <xr:revisionPtr revIDLastSave="0" documentId="13_ncr:1_{994FC744-EC68-487F-A9B4-7E7C8C832476}" xr6:coauthVersionLast="47" xr6:coauthVersionMax="47" xr10:uidLastSave="{00000000-0000-0000-0000-000000000000}"/>
  <bookViews>
    <workbookView xWindow="-120" yWindow="-120" windowWidth="20730" windowHeight="11040" firstSheet="2" activeTab="2"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4" i="2"/>
</calcChain>
</file>

<file path=xl/sharedStrings.xml><?xml version="1.0" encoding="utf-8"?>
<sst xmlns="http://schemas.openxmlformats.org/spreadsheetml/2006/main" count="465" uniqueCount="231">
  <si>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</si>
  <si>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</si>
  <si>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</si>
  <si>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</si>
  <si>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</si>
  <si>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</si>
  <si>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</si>
  <si>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</si>
  <si>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</si>
  <si>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</si>
  <si>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</si>
  <si>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</si>
  <si>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</si>
  <si>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</si>
  <si>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</si>
  <si>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</si>
  <si>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</si>
  <si>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</si>
  <si>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</si>
  <si>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</si>
  <si>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</si>
  <si>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</si>
  <si>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</si>
  <si>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</si>
  <si>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</si>
  <si>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</si>
  <si>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</si>
  <si>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</si>
  <si>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</si>
  <si>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</si>
  <si>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Phase 2 Progress Summary</t>
  </si>
  <si>
    <t>Project Title</t>
  </si>
  <si>
    <t>Total tracked items</t>
  </si>
  <si>
    <t>Stakeholder / Organisation</t>
  </si>
  <si>
    <t>Completed</t>
  </si>
  <si>
    <t>Group Leader</t>
  </si>
  <si>
    <t>In Progress</t>
  </si>
  <si>
    <t>Number of Group Members</t>
  </si>
  <si>
    <t>Blocked</t>
  </si>
  <si>
    <t>GitHub Repository Link</t>
  </si>
  <si>
    <t>Average completion</t>
  </si>
  <si>
    <t>Reporting Period</t>
  </si>
  <si>
    <t>Overall Phase Status</t>
  </si>
  <si>
    <t>Not Started</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</si>
  <si>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</si>
  <si>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</si>
  <si>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</si>
  <si>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</si>
  <si>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</si>
  <si>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</si>
  <si>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</si>
  <si>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</si>
  <si>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</si>
  <si>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</si>
  <si>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</si>
  <si>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</si>
  <si>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</si>
  <si>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</si>
  <si>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</si>
  <si>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</si>
  <si>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P2-02</t>
  </si>
  <si>
    <t>Use Case Diagram</t>
  </si>
  <si>
    <t>Actors, use cases, system boundary and appropriate UML relationships</t>
  </si>
  <si>
    <t>P2-03</t>
  </si>
  <si>
    <t>Sequence Diagram 1</t>
  </si>
  <si>
    <t>Important Flutter process</t>
  </si>
  <si>
    <t>P2-04</t>
  </si>
  <si>
    <t>Sequence Diagram 2</t>
  </si>
  <si>
    <t>Important ASP.NET process</t>
  </si>
  <si>
    <t>P2-05</t>
  </si>
  <si>
    <t>ERD</t>
  </si>
  <si>
    <t>Entities, attributes, PKs, FKs, relationships and cardinality</t>
  </si>
  <si>
    <t>P2-06</t>
  </si>
  <si>
    <t>Flutter Interface Designs</t>
  </si>
  <si>
    <t>Main mobile screens and navigation</t>
  </si>
  <si>
    <t>P2-07</t>
  </si>
  <si>
    <t>ASP.NET Interface Designs</t>
  </si>
  <si>
    <t>Main web pages and navigation</t>
  </si>
  <si>
    <t>P2-08</t>
  </si>
  <si>
    <t>Design Alignment</t>
  </si>
  <si>
    <t>Requirements linked across UML, ERD and interfaces</t>
  </si>
  <si>
    <t>P2-09</t>
  </si>
  <si>
    <t>Updated SRS</t>
  </si>
  <si>
    <t>Phase 2 architecture and design section inserted in existing SRS</t>
  </si>
  <si>
    <t>P2-10</t>
  </si>
  <si>
    <t>Microsoft Project</t>
  </si>
  <si>
    <t>Schedule updated to reflect design progress and upcoming development</t>
  </si>
  <si>
    <t>P2-11</t>
  </si>
  <si>
    <t>GitHub</t>
  </si>
  <si>
    <t>Current design documentation and repository organisation</t>
  </si>
  <si>
    <t>P2-12</t>
  </si>
  <si>
    <t>Phase 2 Presentation</t>
  </si>
  <si>
    <t>Presentation and defence preparation</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</si>
  <si>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</si>
  <si>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</si>
  <si>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</si>
  <si>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</si>
  <si>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</si>
  <si>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</si>
  <si>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</si>
  <si>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</si>
  <si>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</si>
  <si>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</si>
  <si>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</si>
  <si>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</si>
  <si>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No</t>
  </si>
  <si>
    <t>Phase 2 Original Design Source Links / Files</t>
  </si>
  <si>
    <t>Design Artefact</t>
  </si>
  <si>
    <t>Tool Used</t>
  </si>
  <si>
    <t>Editable Link / File Name</t>
  </si>
  <si>
    <t>Accessible to Lecturer?</t>
  </si>
  <si>
    <t>Last Updated</t>
  </si>
  <si>
    <t>Responsible Student</t>
  </si>
  <si>
    <t>Included in SRS?</t>
  </si>
  <si>
    <t>Notes</t>
  </si>
  <si>
    <t>Navigation Flow</t>
  </si>
  <si>
    <t>Phase 2 Challenges and Corrective Actions</t>
  </si>
  <si>
    <t>Date Identified</t>
  </si>
  <si>
    <t>Challenge</t>
  </si>
  <si>
    <t>Effect on Progress / Design</t>
  </si>
  <si>
    <t>Corrective Action</t>
  </si>
  <si>
    <t>Target Date</t>
  </si>
  <si>
    <t>Resolved Date</t>
  </si>
  <si>
    <t>Phase 2 Completion Checklist</t>
  </si>
  <si>
    <t>Complete?</t>
  </si>
  <si>
    <t>Architecture complete</t>
  </si>
  <si>
    <t>What was completed during Phase 2?</t>
  </si>
  <si>
    <t>Use Case Diagram complete</t>
  </si>
  <si>
    <t>What remains incomplete?</t>
  </si>
  <si>
    <t>Two Sequence Diagrams complete</t>
  </si>
  <si>
    <t>Why is it incomplete?</t>
  </si>
  <si>
    <t>ERD complete</t>
  </si>
  <si>
    <t>Which contributions were particularly important?</t>
  </si>
  <si>
    <t>Flutter interfaces complete</t>
  </si>
  <si>
    <t>Were there participation concerns?</t>
  </si>
  <si>
    <t>ASP.NET interfaces complete</t>
  </si>
  <si>
    <t>What will the group improve in Phase 3?</t>
  </si>
  <si>
    <t>Editable source links/files recorded</t>
  </si>
  <si>
    <t>Main priority for Phase 3</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</si>
  <si>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</si>
  <si>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</si>
  <si>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</si>
  <si>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</si>
  <si>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</si>
  <si>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</si>
  <si>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</si>
  <si>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</si>
  <si>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2. Which architecture or design activities were the most challenging?</t>
  </si>
  <si>
    <t>3. How did the group ensure that Flutter, ASP.NET and Supabase were designed as one integrated system?</t>
  </si>
  <si>
    <t>4. How was work divided among group members, and was participation balanced?</t>
  </si>
  <si>
    <t>5. What did the group learn from developing the UML, ERD and interface designs?</t>
  </si>
  <si>
    <t>6. What will the group do differently during development in Phase 3?</t>
  </si>
  <si>
    <t xml:space="preserve">Group U </t>
  </si>
  <si>
    <t>Sebenza Clocking System</t>
  </si>
  <si>
    <t xml:space="preserve">Umzamo Analytical Services </t>
  </si>
  <si>
    <t>Pedro &amp; Takalani</t>
  </si>
  <si>
    <t>Lerato</t>
  </si>
  <si>
    <t>Selloane</t>
  </si>
  <si>
    <t>Kwanele</t>
  </si>
  <si>
    <t>Nkosinathi</t>
  </si>
  <si>
    <t>Thapelo</t>
  </si>
  <si>
    <t>Tshepiso</t>
  </si>
  <si>
    <t>Everyone</t>
  </si>
  <si>
    <t>Tshegofatso</t>
  </si>
  <si>
    <t>2.3</t>
  </si>
  <si>
    <t>Update the SRS</t>
  </si>
  <si>
    <t>Upate all the typos, risk changelog and functional requirements also created the diagram links table.</t>
  </si>
  <si>
    <t>1 day</t>
  </si>
  <si>
    <t>Yes</t>
  </si>
  <si>
    <t>3.1</t>
  </si>
  <si>
    <t>4 days</t>
  </si>
  <si>
    <t>https://viewer.diagrams.net/?tags=%7B%7D&amp;lightbox=1&amp;highlight=0000ff&amp;edit=_blank&amp;layers=1&amp;nav=1&amp;title=System%20Architecture.drawio&amp;dark=auto#Uhttps%3A%2F%2Fdrive.google.com%2Fuc%3Fid%3D1rESYHt5o1iQarVEFVaAx0mJylvMq4XkD%26export%3Ddownload</t>
  </si>
  <si>
    <t>Pedro</t>
  </si>
  <si>
    <t>3.2</t>
  </si>
  <si>
    <t>Use Case</t>
  </si>
  <si>
    <t>Developed the initial Use Case Diagram, identifying the main system actors and their interactions with the proposed system.</t>
  </si>
  <si>
    <t>Takalani</t>
  </si>
  <si>
    <t>Assisted with the Use Case Diagram following the group's design review and feedback, ensuring that the actors, use cases and system interactions remained aligned with the project requirements.</t>
  </si>
  <si>
    <t>3.3</t>
  </si>
  <si>
    <t>Developed one of the Sequence Diagrams to illustrate the interaction between system components. Assisted with updating the project plan.</t>
  </si>
  <si>
    <t>7 days</t>
  </si>
  <si>
    <t>Sequence Diagram &amp; Project Plan</t>
  </si>
  <si>
    <t xml:space="preserve">Sequence Diagram &amp; Project Plan </t>
  </si>
  <si>
    <t>3.2 &amp; 3.3</t>
  </si>
  <si>
    <t>Database Design and ERD</t>
  </si>
  <si>
    <t>Designed the database structure and developed the Entity Relationship Diagram (ERD), identifying the main entities, attributes, keys and relationships required to support the system.</t>
  </si>
  <si>
    <t>9 days</t>
  </si>
  <si>
    <t>Assisted with the database design and developing the ERD</t>
  </si>
  <si>
    <t>Paki</t>
  </si>
  <si>
    <t>8 days</t>
  </si>
  <si>
    <t>Updated and maintained the Phase 2 project progress tracker, including the project overview, task progress and individual contribution records.</t>
  </si>
  <si>
    <t>Project Tracker</t>
  </si>
  <si>
    <t>Updated Project Tracker</t>
  </si>
  <si>
    <t>Kwanele &amp; Paki</t>
  </si>
  <si>
    <t xml:space="preserve">System Architecture </t>
  </si>
  <si>
    <t xml:space="preserve">Designed the system architecture. </t>
  </si>
  <si>
    <t xml:space="preserve">User Interface Prototype </t>
  </si>
  <si>
    <t xml:space="preserve">Designed the user interface prototypes , covering the proposed user-facing interfaces and ensuring that the designs support the system's functional requirements. </t>
  </si>
  <si>
    <t>Figma</t>
  </si>
  <si>
    <t>LucidChart</t>
  </si>
  <si>
    <t>Time and separation of tasks were difficult, and the group spent longer than expected deciding who should do which task.</t>
  </si>
  <si>
    <t>Some time was lost before responsibilities were finalised.</t>
  </si>
  <si>
    <t>we ended up just playing on each others strengths this time and just let people do tasks they enjoy and also some compromised where they had to as long as we get the task done.</t>
  </si>
  <si>
    <t xml:space="preserve">Waiting on HR to reply with feedback on The updated SRS and wireframs </t>
  </si>
  <si>
    <t xml:space="preserve">Could delay us compliting the SRS document as the feedback from the stakeholder is going to be the last thing on our list </t>
  </si>
  <si>
    <t xml:space="preserve">Nkosinathi will follow up and gather the feedback atleast a week before we need to submit so that we can have enough time to look at the document in its final form fix what needs to be fixed and submit a well thought document </t>
  </si>
  <si>
    <t>Finish the SRS, keep the GitHub repository and Microsoft Project file current, and prepare for the Phase 2 presentation.</t>
  </si>
  <si>
    <t>Communicate task progress more consistently and everyone be hands on to ensure success in our project.</t>
  </si>
  <si>
    <t>Draw.io</t>
  </si>
  <si>
    <t>Ensuring that our diagrams explain what our system does properly</t>
  </si>
  <si>
    <r>
      <rPr>
        <sz val="11"/>
        <rFont val="Carlito"/>
      </rPr>
      <t xml:space="preserve">The group completed the main Phase 2 design artefacts recorded in the tracker, including the system architecture, Use Case Diagram, two Sequence Diagrams, ERD and user-interface prototypes. The group also made progress on the updated SRS, project planning and progress documentation.	</t>
    </r>
    <r>
      <rPr>
        <b/>
        <sz val="11"/>
        <rFont val="Carlito"/>
      </rPr>
      <t xml:space="preserve">				
					</t>
    </r>
  </si>
  <si>
    <t>Work was divided according to the Phase 2 responsibilities recorded in the contribution tracker. Nkosinathi worked on UI prototypes ; Pedro and Takalani on the Use Case Diagram; Lerato and Selloane on Sequence Diagrams and the project plan; Kwanele and Paki on the ERD; Tshegofatso on architecture and stakeholder engagement; Tshepiso on the progress tracker; and Thapelo on the SRS update. The group recorded that ten of ten members contributed fairly.</t>
  </si>
  <si>
    <t xml:space="preserve">During development the group will communicate task progress more consistently, involve all members more actively, keep evidence and project records updated as work is completed, incorporate stakeholder feedback early and maintain realistic internal deadlines.					
					</t>
  </si>
  <si>
    <t>We learned how to turn our Phase 1 requirements into technical designs. UML helped us understand system interactions, the ERD helped us structure the data, and the interface designs helped us translate the requirements into usable screens. We also learned the importance of keeping all our designs consistent.</t>
  </si>
  <si>
    <t>We gave each technology a clear responsibility: Flutter for the employee mobile interface, ASP.NET for the management web application and business logic, and Supabase for shared authentication and data storage. We then aligned the architecture, UML, ERD and interfaces so that they all represented the same requirements, data and processes.</t>
  </si>
  <si>
    <t xml:space="preserve">NONE </t>
  </si>
  <si>
    <t>3 days</t>
  </si>
  <si>
    <t>14 September 2026 - 13 October 2026</t>
  </si>
  <si>
    <t>We have succesfuly separated tasks among each other , the wireframes have been finished, the system archetecture, use case and sequence diagrams and ERD are completed. The SRS document is Up to date.</t>
  </si>
  <si>
    <t>N/A</t>
  </si>
  <si>
    <r>
      <rPr>
        <sz val="11"/>
        <rFont val="Carlito"/>
      </rPr>
      <t xml:space="preserve">The most challenging Activity was getting the use case right. Also making sure that our wireframes include everything that was required.	</t>
    </r>
    <r>
      <rPr>
        <b/>
        <sz val="11"/>
        <rFont val="Carlito"/>
      </rPr>
      <t xml:space="preserve">				
					</t>
    </r>
  </si>
  <si>
    <t xml:space="preserve">14 September 2026 - 13 October 2026	</t>
  </si>
  <si>
    <t>https://github.com/biyasekwanele/sebenza-clocking-system.git</t>
  </si>
  <si>
    <t>https://www.figma.com/make/ksSuk3HNqtRmwr8my3Dw7E/Sebenza-Clocking-System?code-node-id=0-6&amp;p=f&amp;fullscreen=1</t>
  </si>
  <si>
    <t>https://lucid.app/lucidchart/bd59e6f9-8f1d-4421-8316-84cc445b37c5/edit?viewport_loc=-662%2C-448%2C5038%2C2106%2C0_0&amp;invitationId=inv_1cb79b5c-175b-4651-a1bd-d4d0ac932d90</t>
  </si>
  <si>
    <t>https://github.com/biyasekwanele//sebenza-clocking-system.git</t>
  </si>
  <si>
    <t>https://app.diagrams.net/#G1WnnMAADEEE-IsjPr1TTquf-2JKCgalI1#%7B%22pageId%22%3A%220YesyBUdXUmlOLOw5Ugs%22%7D</t>
  </si>
  <si>
    <t>https://viewer.diagrams.net/?tags=%7B%7D&amp;lightbox=1&amp;highlight=0000ff&amp;edit=_blank&amp;layers=1&amp;nav=1&amp;title=Sequence%20Diagram-Overtime.drawio&amp;dark=auto#R%3Cmxfile%3E%3Cdiagram%20name%3D%22Page-1%22%20id%3D%22l3LJjRWJDzVEaLW4UUNY%22%3E7Zxbc5s4FIB%2FjWfSh2S4gx99S5tttsnGabrbl44Msk2DEQFhx%2Fn1KyGBuSVEtfHaXaczKRykI6FzPh1dUDrqYPH8MQTB%2FE%2FkQK%2BjSM5zRx12FEWRNI38RyVrJjEsiQlmoeswkbwRjN0XyIWpNHYdGBUSYoQ87AZFoY18H9q4IANhiFbFZFPkFUsNwAxWBGMbeFXpN9fBcya1FHMj%2FwTd2TwtWTa67MkE2I%2BzEMU%2BL8%2Bjic4dED6edRR1qI%2BsIWmaAbmWFfrvA8u2AGkZvJ2iOXDQKidSRx11ECKE2dXieQA92uZpc7J8l688zd4nhD5%2BT4bLu5up%2F2TCl7XiSOOnq6X%2B9eHcrGrhiiO8TpuO1Dygl%2FHCu3an0HN9ctcPYOguIIYheeJx8e1G1l%2FNXQzHAbBp1hVxKiKb44VH7mRySeyMAckS8nsnRME9CGeQVkNKEngeCCJ3klSDSkJox2HkLuEdjJh%2FUSmKMS16kPkNFQYoxEQS4ZCUQYUQRHgFI3LZ9%2BFq5BDfSF%2FQ7HcU4ymmdujD7EEm6qi9zU0En2Lo23BUk476QHrjuROwRK5zR2rn%2BrOCNqmQkrzSEjpvJEhcr5LCHNK3BCF2bTcAySsS8%2FRsjGjbk%2FdGj5mfK7RCYAK9fubKA%2BTRhEMfJbacup6XiogjS11d1%2FuZntyTfm9gDVWag5gvJx8lP7naMqPyu5xbJGLmYUvgxdzDuACGGD7nvJA78keISO5wTZLMc4gaqsXyrTY8p7DxTkrVuWrAe49ZpmpDCrngsAiAY53AOWJwxP29StRrBLxN2q%2Fx0RvfXnwZ3RPhNzghv3tBsDNkZIkzk4b6MkOa1RJD3RNDJ4b2xtA4DsAERJDiE5MatMWPpmt7ikGydALoBNDeALpFEZ6FcPzXdWvsGKa8L3Z4QdRlXp1QpTChOLRh8ywqB10OFdpMLpmH9sjE0SeyCcIYLai3%2Bk6PTmypzEP2Y8GB1WHVWauOyVljTsgxK9j2bT%2BoeJrU14ZGr%2BRXDpyC2MOZS%2BCU84axcWF8byQKyNjFmDFNTEDLKbRcigl9cM76CQKwJCvBM8uW8coU3QTQJ89vklZe0M79Di5duEpXBHg5xEdYUcXiiThXpToPDqEHMOm0Cg6R8%2BB0FaTOQRNtxMRgnUsQINKlRbnCbqlgg4BsqheKXqBA06SSvzOl9QpMszZzVgHmzTxTfr2gXBG9QRHzg4qiBMesBbcgVNkhodbBEio6VW%2BJ2e4emX0AnusATGGNYBS5iBIMfIfihrwjZFa1uhVmDUWAWcWszy0Mrao3KGobWnWH0Ha3hRbR4EAGpyCaZ7yRx3xx2vofBNytWa30Agm8ZIjLSJUSpRKZW8Fw6Uak%2BrWUvgL0u%2BFtldSuLkBqBTCeW5jUCvJlRW2TapzC6%2F4ITafqe4mv49H1aEAXC0n35yTzVwll42MDLOhc3p9EwVtoHmys1aXK%2BFhXLJFYaxm1uYUJNuQGRW0TbAoQfEwx9ECY3WdUva0hVfLcCB94PDVMq8iAKTLsNeX63OIoqg2K2kbR2geKv9cq0V5D4teATzhTvM4iDHAcJWu1hBG6ZASdH5N1SQDwh%2BMLkZplXJRGl6akiYRIQ6vNLc6lYr6tqGUu09Y%2BhcjjX%2BllCNNFos1ibxtk7g7DrlrBUBMZqZbDo1neif%2FV8FhR1DaGIku5JwyFMTT3iOF4jlbVsekO%2BeM%2BK11IkmI0ILnx9DQJmk4jWHBi4Q0YXStjm8703hs9zdrc4jswVoOitrHVBLBtfYnohPce8V6yLRq2NQOJBcJWYT%2BntGulseHWAVhRi18TWJbIPmoZY0szd4NxRdHuMH6R51cP8cMTmN4Afx19%2F7ReXZ6LUHyi8xjojLOhcDqLPeiBsFKaBXa1bcJpmntrDiuKWuZQ32E0PX1x9J%2FNQ8fxZOFSFQ60Xf7xwlkvCEJE%2BCHVgz%2Fph4z0I2qSRbLRYkGse4SrSLJe3N4wDJHoKStybW7xfVKpQVHL1Iqs7DZRmy55nsLsgSMOko96JRA7Lv7hodmBB9js24E0svHPcN6Hqi51a3MLo6opDYpaRrW7Q1RPXzQc0vbN1Zfx6O4%2BT%2BQZPf%2Bblq4MfLhK744w1Jb5tWSR3ZrsI%2FlSbnF%2B1QZFLfMrfJ7lMgQL6uINh1WS5ofhaAmpFRhT2x6%2B0Bu52%2B0JWeBhLhM7daFK1VMXplVafVGKds829bc5dfH5%2BzP%2B5%2Frpxx%2F258m38fzn%2BiX6%2B1x9j4HJ6%2BGiAevsWzRUzTlmLgK8j7ahz042lTvvhes4SU%2B8MYxUZ4HXvoSUhtk8oL6D%2BQWbVUxWOWSm7cli2u9ksZGXHP%2B78pfMdO3ZKz2EUW8uS9GFzUVuN38rgvW4mz%2FUoY7%2BBQ%3D%3D%3C%2Fdiagram%3E%3C%2Fmxfile%3E</t>
  </si>
  <si>
    <t>https://viewer.diagrams.net/?tags=%7B%7D&amp;lightbox=1&amp;highlight=0000ff&amp;edit=_blank&amp;layers=1&amp;nav=1&amp;title=Sequence%20Diagram.drawio&amp;dark=auto#Uhttps%3A%2F%2Fdrive.google.com%2Fuc%3Fid%3D1Lxjyn7C33eKcqnTFqsEF9ZGF_tcGvsgr%26export%3Ddownload</t>
  </si>
  <si>
    <t>https://viewer.diagrams.net/?tags=%7B%7D&amp;lightbox=1&amp;highlight=0000ff&amp;edit=_blank&amp;layers=1&amp;nav=1&amp;dark=auto#Uhttps%3A%2F%2Fdrive.google.com%2Fuc%3Fid%3D1eXohZenwZEWp6WhPrafkVnP-c2IGm0fk%26export%3Ddownload#%7B%22pageId%22%3A%22l3LJjRWJDzVEaLW4UUNY%22%7D</t>
  </si>
  <si>
    <t>Powerpoint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</si>
</sst>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5"/>
      <color rgb="FFFFFFFF"/>
      <name val="Carlito"/>
    </font>
    <font>
      <b/>
      <sz val="11"/>
      <color rgb="FFFFFFFF"/>
      <name val="Carlito"/>
    </font>
    <font>
      <b/>
      <sz val="11"/>
      <name val="Carlito"/>
    </font>
    <font>
      <sz val="11"/>
      <name val="Carlito"/>
    </font>
    <font>
      <u/>
      <sz val="11"/>
      <color theme="10"/>
      <name val="Carlito"/>
    </font>
    <font>
      <u/>
      <sz val="5"/>
      <color theme="10"/>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2">
    <border>
      <left/>
      <right/>
      <top/>
      <bottom/>
      <diagonal/>
    </border>
    <border>
      <left/>
      <right/>
      <top/>
      <bottom/>
      <diagonal/>
    </border>
  </borders>
  <cellStyleXfs count="5">
    <xf numFmtId="0" fontId="0" fillId="0" borderId="0"/>
    <xf numFmtId="0" fontId="4" fillId="0" borderId="1"/>
    <xf numFmtId="0" fontId="5" fillId="0" borderId="1" applyNumberFormat="0" applyFill="0" applyBorder="0" applyAlignment="0" applyProtection="0"/>
    <xf numFmtId="0" fontId="4" fillId="0" borderId="1"/>
    <xf numFmtId="0" fontId="4" fillId="0" borderId="1"/>
  </cellStyleXfs>
  <cellXfs count="25">
    <xf numFmtId="0" fontId="0" fillId="0" borderId="0" xfId="0"/>
    <xf numFmtId="0" fontId="2" fillId="2" borderId="0" xfId="0" applyFont="1" applyFill="1" applyAlignment="1">
      <alignment horizontal="center" vertical="center" wrapText="1"/>
    </xf>
    <xf numFmtId="0" fontId="0" fillId="0" borderId="0" xfId="0" applyAlignment="1">
      <alignment wrapText="1"/>
    </xf>
    <xf numFmtId="0" fontId="3" fillId="4" borderId="0" xfId="0" applyFont="1" applyFill="1"/>
    <xf numFmtId="0" fontId="3" fillId="4" borderId="0" xfId="0" applyFont="1" applyFill="1" applyAlignment="1">
      <alignment wrapText="1"/>
    </xf>
    <xf numFmtId="0" fontId="0" fillId="5" borderId="0" xfId="0" applyFill="1" applyAlignment="1">
      <alignment vertical="top" wrapText="1"/>
    </xf>
    <xf numFmtId="0" fontId="3" fillId="6" borderId="0" xfId="0" applyFont="1" applyFill="1" applyAlignment="1">
      <alignment horizontal="center"/>
    </xf>
    <xf numFmtId="9" fontId="3" fillId="6" borderId="0" xfId="0" applyNumberFormat="1" applyFont="1" applyFill="1" applyAlignment="1">
      <alignment horizontal="center"/>
    </xf>
    <xf numFmtId="9" fontId="0" fillId="5" borderId="0" xfId="0" applyNumberFormat="1" applyFill="1" applyAlignment="1">
      <alignment vertical="top" wrapText="1"/>
    </xf>
    <xf numFmtId="0" fontId="3" fillId="4" borderId="0" xfId="0" applyFont="1" applyFill="1" applyAlignment="1">
      <alignment vertical="top" wrapText="1"/>
    </xf>
    <xf numFmtId="14" fontId="0" fillId="5" borderId="0" xfId="0" applyNumberFormat="1" applyFill="1" applyAlignment="1">
      <alignment vertical="top" wrapText="1"/>
    </xf>
    <xf numFmtId="0" fontId="5" fillId="5" borderId="0" xfId="2" applyFill="1" applyBorder="1" applyAlignment="1">
      <alignment vertical="top" wrapText="1"/>
    </xf>
    <xf numFmtId="0" fontId="6" fillId="5" borderId="0" xfId="2" applyFont="1" applyFill="1" applyBorder="1" applyAlignment="1">
      <alignment vertical="top" wrapText="1"/>
    </xf>
    <xf numFmtId="0" fontId="1" fillId="2" borderId="0" xfId="0" applyFont="1" applyFill="1" applyAlignment="1">
      <alignment horizontal="center" vertical="center"/>
    </xf>
    <xf numFmtId="0" fontId="0" fillId="3" borderId="0" xfId="0" applyFill="1" applyAlignment="1">
      <alignment wrapText="1"/>
    </xf>
    <xf numFmtId="0" fontId="2" fillId="2" borderId="0" xfId="0" applyFont="1" applyFill="1"/>
    <xf numFmtId="0" fontId="0" fillId="3" borderId="0" xfId="0" applyFill="1" applyAlignment="1">
      <alignment vertical="top" wrapText="1"/>
    </xf>
    <xf numFmtId="0" fontId="2" fillId="2" borderId="0" xfId="0" applyFont="1" applyFill="1" applyAlignment="1">
      <alignment horizontal="center"/>
    </xf>
    <xf numFmtId="0" fontId="0" fillId="5" borderId="0" xfId="0" applyFill="1" applyAlignment="1">
      <alignment vertical="top" wrapText="1"/>
    </xf>
    <xf numFmtId="0" fontId="0" fillId="5" borderId="0" xfId="0" applyFill="1" applyAlignment="1">
      <alignment horizontal="left" vertical="top" wrapText="1"/>
    </xf>
    <xf numFmtId="0" fontId="3" fillId="4" borderId="0" xfId="0" applyFont="1" applyFill="1" applyAlignment="1">
      <alignment wrapText="1"/>
    </xf>
    <xf numFmtId="0" fontId="3" fillId="5" borderId="0" xfId="0" applyFont="1" applyFill="1" applyAlignment="1">
      <alignment vertical="top" wrapText="1"/>
    </xf>
    <xf numFmtId="0" fontId="3" fillId="4" borderId="0" xfId="0" applyFont="1" applyFill="1" applyAlignment="1">
      <alignment vertical="top" wrapText="1"/>
    </xf>
    <xf numFmtId="0" fontId="4" fillId="5" borderId="1" xfId="4" applyFill="1" applyAlignment="1">
      <alignment vertical="top" wrapText="1"/>
    </xf>
    <xf numFmtId="0" fontId="4" fillId="0" borderId="1" xfId="4"/>
  </cellXfs>
  <cellStyles count="5">
    <cellStyle name="Hyperlink" xfId="2" builtinId="8"/>
    <cellStyle name="Normal" xfId="0" builtinId="0"/>
    <cellStyle name="Normal 2" xfId="1" xr:uid="{05214EA7-8042-40E1-86B0-B74EE770405F}"/>
    <cellStyle name="Normal 3" xfId="3" xr:uid="{A9637BA1-4E82-40FD-9292-15B415AA5DE1}"/>
    <cellStyle name="Normal 4" xfId="4" xr:uid="{4723A39E-07F4-4CA6-A785-659C689432AE}"/>
  </cellStyles>
  <dxfs count="5">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biyasekwanele/sebenza-clocking-system.gi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biyasekwanele/sebenza-clocking-system.git" TargetMode="External"/><Relationship Id="rId3" Type="http://schemas.openxmlformats.org/officeDocument/2006/relationships/hyperlink" Target="https://viewer.diagrams.net/?tags=%7B%7D&amp;lightbox=1&amp;highlight=0000ff&amp;edit=_blank&amp;layers=1&amp;nav=1&amp;title=Sequence%20Diagram.drawio&amp;dark=auto" TargetMode="External"/><Relationship Id="rId7" Type="http://schemas.openxmlformats.org/officeDocument/2006/relationships/hyperlink" Target="https://lucid.app/lucidchart/bd59e6f9-8f1d-4421-8316-84cc445b37c5/edit?viewport_loc=-662%2C-448%2C5038%2C2106%2C0_0&amp;invitationId=inv_1cb79b5c-175b-4651-a1bd-d4d0ac932d90" TargetMode="External"/><Relationship Id="rId2" Type="http://schemas.openxmlformats.org/officeDocument/2006/relationships/hyperlink" Target="https://viewer.diagrams.net/?tags=%7B%7D&amp;lightbox=1&amp;highlight=0000ff&amp;edit=_blank&amp;layers=1&amp;nav=1&amp;title=System%20Architecture.drawio&amp;dark=auto" TargetMode="External"/><Relationship Id="rId1" Type="http://schemas.openxmlformats.org/officeDocument/2006/relationships/hyperlink" Target="https://www.figma.com/make/ksSuk3HNqtRmwr8my3Dw7E/Sebenza-Clocking-System?code-node-id=0-6&amp;p=f&amp;fullscreen=1" TargetMode="External"/><Relationship Id="rId6" Type="http://schemas.openxmlformats.org/officeDocument/2006/relationships/hyperlink" Target="https://www.figma.com/make/ksSuk3HNqtRmwr8my3Dw7E/Sebenza-Clocking-System?code-node-id=0-6&amp;p=f&amp;fullscreen=1" TargetMode="External"/><Relationship Id="rId5" Type="http://schemas.openxmlformats.org/officeDocument/2006/relationships/hyperlink" Target="https://lucid.app/lucidchart/bd59e6f9-8f1d-4421-8316-84cc445b37c5/edit?viewport_loc=-662%2C-448%2C5038%2C2106%2C0_0&amp;invitationId=inv_1cb79b5c-175b-4651-a1bd-d4d0ac932d90" TargetMode="External"/><Relationship Id="rId4" Type="http://schemas.openxmlformats.org/officeDocument/2006/relationships/hyperlink" Target="https://viewer.diagrams.net/?tags=%7B%7D&amp;lightbox=1&amp;highlight=0000ff&amp;edit=_blank&amp;layers=1&amp;nav=1&amp;title=Sequence%20Diagram%20-%20Overtime.drawio&amp;dark=auto" TargetMode="External"/><Relationship Id="rId9" Type="http://schemas.openxmlformats.org/officeDocument/2006/relationships/hyperlink" Target="https://app.diagrams.ne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figma.com/make/ksSuk3HNqtRmwr8my3Dw7E/Sebenza-Clocking-System?code-node-id=0-6&amp;p=f&amp;fullscreen=1" TargetMode="External"/><Relationship Id="rId3" Type="http://schemas.openxmlformats.org/officeDocument/2006/relationships/hyperlink" Target="https://app.diagrams.net/" TargetMode="External"/><Relationship Id="rId7" Type="http://schemas.openxmlformats.org/officeDocument/2006/relationships/hyperlink" Target="https://lucid.app/lucidchart/bd59e6f9-8f1d-4421-8316-84cc445b37c5/edit?viewport_loc=-662%2C-448%2C5038%2C2106%2C0_0&amp;invitationId=inv_1cb79b5c-175b-4651-a1bd-d4d0ac932d90" TargetMode="External"/><Relationship Id="rId2" Type="http://schemas.openxmlformats.org/officeDocument/2006/relationships/hyperlink" Target="https://viewer.diagrams.net/?tags=%7B%7D&amp;lightbox=1&amp;highlight=0000ff&amp;edit=_blank&amp;layers=1&amp;nav=1&amp;title=System%20Architecture.drawio&amp;dark=auto" TargetMode="External"/><Relationship Id="rId1" Type="http://schemas.openxmlformats.org/officeDocument/2006/relationships/hyperlink" Target="https://viewer.diagrams.net/?tags=%7B%7D&amp;lightbox=1&amp;highlight=0000ff&amp;edit=_blank&amp;layers=1&amp;nav=1&amp;dark=auto" TargetMode="External"/><Relationship Id="rId6" Type="http://schemas.openxmlformats.org/officeDocument/2006/relationships/hyperlink" Target="https://lucid.app/lucidchart/bd59e6f9-8f1d-4421-8316-84cc445b37c5/edit?viewport_loc=-662%2C-448%2C5038%2C2106%2C0_0&amp;invitationId=inv_1cb79b5c-175b-4651-a1bd-d4d0ac932d90" TargetMode="External"/><Relationship Id="rId5" Type="http://schemas.openxmlformats.org/officeDocument/2006/relationships/hyperlink" Target="https://viewer.diagrams.net/?tags=%7B%7D&amp;lightbox=1&amp;highlight=0000ff&amp;edit=_blank&amp;layers=1&amp;nav=1&amp;title=Sequence%20Diagram.drawio&amp;dark=auto" TargetMode="External"/><Relationship Id="rId4" Type="http://schemas.openxmlformats.org/officeDocument/2006/relationships/hyperlink" Target="https://app.diagrams.ne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igma.com/make/ksSuk3HNqtRmwr8my3Dw7E/Sebenza-Clocking-System?code-node-id=0-6&amp;p=f&amp;fullscreen=1" TargetMode="External"/><Relationship Id="rId3" Type="http://schemas.openxmlformats.org/officeDocument/2006/relationships/hyperlink" Target="https://viewer.diagrams.net/?tags=%7B%7D&amp;lightbox=1&amp;highlight=0000ff&amp;edit=_blank&amp;layers=1&amp;nav=1&amp;title=Sequence%20Diagram.drawio&amp;dark=auto" TargetMode="External"/><Relationship Id="rId7" Type="http://schemas.openxmlformats.org/officeDocument/2006/relationships/hyperlink" Target="https://www.figma.com/make/ksSuk3HNqtRmwr8my3Dw7E/Sebenza-Clocking-System?code-node-id=0-6&amp;p=f&amp;fullscreen=1" TargetMode="External"/><Relationship Id="rId2" Type="http://schemas.openxmlformats.org/officeDocument/2006/relationships/hyperlink" Target="https://app.diagrams.net/" TargetMode="External"/><Relationship Id="rId1" Type="http://schemas.openxmlformats.org/officeDocument/2006/relationships/hyperlink" Target="https://viewer.diagrams.net/?tags=%7B%7D&amp;lightbox=1&amp;highlight=0000ff&amp;edit=_blank&amp;layers=1&amp;nav=1&amp;title=System%20Architecture.drawio&amp;dark=auto" TargetMode="External"/><Relationship Id="rId6" Type="http://schemas.openxmlformats.org/officeDocument/2006/relationships/hyperlink" Target="https://www.figma.com/make/ksSuk3HNqtRmwr8my3Dw7E/Sebenza-Clocking-System?code-node-id=0-6&amp;p=f&amp;fullscreen=1" TargetMode="External"/><Relationship Id="rId5" Type="http://schemas.openxmlformats.org/officeDocument/2006/relationships/hyperlink" Target="https://lucid.app/lucidchart/bd59e6f9-8f1d-4421-8316-84cc445b37c5/edit?viewport_loc=-662%2C-448%2C5038%2C2106%2C0_0&amp;invitationId=inv_1cb79b5c-175b-4651-a1bd-d4d0ac932d90" TargetMode="External"/><Relationship Id="rId4" Type="http://schemas.openxmlformats.org/officeDocument/2006/relationships/hyperlink" Target="https://viewer.diagrams.net/?tags=%7B%7D&amp;lightbox=1&amp;highlight=0000ff&amp;edit=_blank&amp;layers=1&amp;nav=1&amp;dark=aut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A3" workbookViewId="0">
      <selection sqref="A1:F1"/>
    </sheetView>
  </sheetViews>
  <sheetFormatPr defaultRowHeight="14.25"/>
  <cols>
    <col min="1" max="1" width="25" customWidth="1"/>
    <col min="2" max="2" width="38" customWidth="1"/>
    <col min="3" max="3" width="52" customWidth="1"/>
    <col min="4" max="6" width="14" customWidth="1"/>
  </cols>
  <sheetData>
    <row r="1" spans="1:6" ht="33.950000000000003" customHeight="1">
      <c r="A1" s="13" t="s">
        <v>0</v>
      </c>
      <c r="B1" s="13"/>
      <c r="C1" s="13"/>
      <c r="D1" s="13"/>
      <c r="E1" s="13"/>
      <c r="F1" s="13"/>
    </row>
    <row r="2" spans="1:6" ht="33.950000000000003" customHeight="1">
      <c r="A2" s="14" t="s">
        <v>1</v>
      </c>
      <c r="B2" s="14"/>
      <c r="C2" s="14"/>
      <c r="D2" s="14"/>
      <c r="E2" s="14"/>
      <c r="F2" s="14"/>
    </row>
    <row r="4" spans="1:6" ht="30" customHeight="1">
      <c r="A4" s="1" t="s">
        <v>2</v>
      </c>
      <c r="B4" s="1" t="s">
        <v>3</v>
      </c>
      <c r="C4" s="1" t="s">
        <v>4</v>
      </c>
    </row>
    <row r="5" spans="1:6" ht="39.950000000000003" customHeight="1">
      <c r="A5" s="2" t="s">
        <v>5</v>
      </c>
      <c r="B5" s="2" t="s">
        <v>6</v>
      </c>
      <c r="C5" s="2" t="s">
        <v>7</v>
      </c>
    </row>
    <row r="6" spans="1:6" ht="39.950000000000003" customHeight="1">
      <c r="A6" s="2" t="s">
        <v>8</v>
      </c>
      <c r="B6" s="2" t="s">
        <v>9</v>
      </c>
      <c r="C6" s="2" t="s">
        <v>10</v>
      </c>
    </row>
    <row r="7" spans="1:6" ht="39.950000000000003" customHeight="1">
      <c r="A7" s="2" t="s">
        <v>11</v>
      </c>
      <c r="B7" s="2" t="s">
        <v>12</v>
      </c>
      <c r="C7" s="2" t="s">
        <v>13</v>
      </c>
    </row>
    <row r="8" spans="1:6" ht="39.950000000000003" customHeight="1">
      <c r="A8" s="2" t="s">
        <v>14</v>
      </c>
      <c r="B8" s="2" t="s">
        <v>15</v>
      </c>
      <c r="C8" s="2" t="s">
        <v>16</v>
      </c>
    </row>
    <row r="9" spans="1:6" ht="39.950000000000003" customHeight="1">
      <c r="A9" s="2" t="s">
        <v>17</v>
      </c>
      <c r="B9" s="2" t="s">
        <v>18</v>
      </c>
      <c r="C9" s="2" t="s">
        <v>19</v>
      </c>
    </row>
    <row r="10" spans="1:6" ht="39.950000000000003" customHeight="1">
      <c r="A10" s="2" t="s">
        <v>20</v>
      </c>
      <c r="B10" s="2" t="s">
        <v>21</v>
      </c>
      <c r="C10" s="2" t="s">
        <v>22</v>
      </c>
    </row>
    <row r="11" spans="1:6" ht="39.950000000000003" customHeight="1">
      <c r="A11" s="2" t="s">
        <v>23</v>
      </c>
      <c r="B11" s="2" t="s">
        <v>24</v>
      </c>
      <c r="C11" s="2" t="s">
        <v>25</v>
      </c>
    </row>
    <row r="13" spans="1:6" ht="15">
      <c r="A13" s="15" t="s">
        <v>26</v>
      </c>
      <c r="B13" s="15"/>
      <c r="C13" s="15"/>
      <c r="D13" s="15"/>
      <c r="E13" s="15"/>
      <c r="F13" s="15"/>
    </row>
    <row r="14" spans="1:6">
      <c r="A14" s="16" t="s">
        <v>27</v>
      </c>
      <c r="B14" s="16"/>
      <c r="C14" s="16"/>
      <c r="D14" s="16"/>
      <c r="E14" s="16"/>
      <c r="F14" s="16"/>
    </row>
    <row r="15" spans="1:6">
      <c r="A15" s="16"/>
      <c r="B15" s="16"/>
      <c r="C15" s="16"/>
      <c r="D15" s="16"/>
      <c r="E15" s="16"/>
      <c r="F15" s="16"/>
    </row>
    <row r="16" spans="1:6">
      <c r="A16" s="16"/>
      <c r="B16" s="16"/>
      <c r="C16" s="16"/>
      <c r="D16" s="16"/>
      <c r="E16" s="16"/>
      <c r="F16" s="16"/>
    </row>
    <row r="17" spans="1:6">
      <c r="A17" s="16"/>
      <c r="B17" s="16"/>
      <c r="C17" s="16"/>
      <c r="D17" s="16"/>
      <c r="E17" s="16"/>
      <c r="F17" s="16"/>
    </row>
    <row r="18" spans="1:6">
      <c r="A18" s="16"/>
      <c r="B18" s="16"/>
      <c r="C18" s="16"/>
      <c r="D18" s="16"/>
      <c r="E18" s="16"/>
      <c r="F18" s="16"/>
    </row>
  </sheetData>
  <mergeCells count="4">
    <mergeCell ref="A1:F1"/>
    <mergeCell ref="A2:F2"/>
    <mergeCell ref="A13:F13"/>
    <mergeCell ref="A14: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B8" sqref="B8"/>
    </sheetView>
  </sheetViews>
  <sheetFormatPr defaultRowHeight="14.25"/>
  <cols>
    <col min="1" max="1" width="27" customWidth="1"/>
    <col min="2" max="2" width="38" customWidth="1"/>
    <col min="3" max="3" width="4" customWidth="1"/>
    <col min="4" max="4" width="25" customWidth="1"/>
    <col min="5" max="5" width="18" customWidth="1"/>
    <col min="6" max="8" width="16" customWidth="1"/>
  </cols>
  <sheetData>
    <row r="1" spans="1:8" ht="33.950000000000003" customHeight="1">
      <c r="A1" s="13" t="s">
        <v>28</v>
      </c>
      <c r="B1" s="13"/>
      <c r="C1" s="13"/>
      <c r="D1" s="13"/>
      <c r="E1" s="13"/>
      <c r="F1" s="13"/>
      <c r="G1" s="13"/>
      <c r="H1" s="13"/>
    </row>
    <row r="3" spans="1:8" ht="15">
      <c r="A3" s="4" t="s">
        <v>29</v>
      </c>
      <c r="B3" s="5" t="s">
        <v>152</v>
      </c>
      <c r="D3" s="17" t="s">
        <v>30</v>
      </c>
      <c r="E3" s="17"/>
      <c r="F3" s="17"/>
      <c r="G3" s="17"/>
      <c r="H3" s="17"/>
    </row>
    <row r="4" spans="1:8" ht="15">
      <c r="A4" s="4" t="s">
        <v>31</v>
      </c>
      <c r="B4" s="5" t="s">
        <v>153</v>
      </c>
      <c r="D4" s="3" t="s">
        <v>32</v>
      </c>
      <c r="E4" s="6">
        <f>COUNTA('Design Progress'!A4:A33)</f>
        <v>12</v>
      </c>
    </row>
    <row r="5" spans="1:8" ht="15">
      <c r="A5" s="4" t="s">
        <v>33</v>
      </c>
      <c r="B5" s="5" t="s">
        <v>154</v>
      </c>
      <c r="D5" s="3" t="s">
        <v>34</v>
      </c>
      <c r="E5" s="6">
        <v>12</v>
      </c>
    </row>
    <row r="6" spans="1:8" ht="15">
      <c r="A6" s="4" t="s">
        <v>35</v>
      </c>
      <c r="B6" s="5" t="s">
        <v>188</v>
      </c>
      <c r="D6" s="3" t="s">
        <v>36</v>
      </c>
      <c r="E6" s="6">
        <v>0</v>
      </c>
    </row>
    <row r="7" spans="1:8" ht="15">
      <c r="A7" s="4" t="s">
        <v>37</v>
      </c>
      <c r="B7" s="5">
        <v>10</v>
      </c>
      <c r="D7" s="3" t="s">
        <v>38</v>
      </c>
      <c r="E7" s="6">
        <f>COUNTIF('Design Progress'!G4:G33,"Blocked")</f>
        <v>0</v>
      </c>
    </row>
    <row r="8" spans="1:8" ht="28.5">
      <c r="A8" s="4" t="s">
        <v>39</v>
      </c>
      <c r="B8" s="11" t="s">
        <v>222</v>
      </c>
      <c r="D8" s="3" t="s">
        <v>40</v>
      </c>
      <c r="E8" s="7">
        <v>1</v>
      </c>
    </row>
    <row r="9" spans="1:8" ht="15">
      <c r="A9" s="4" t="s">
        <v>41</v>
      </c>
      <c r="B9" s="5" t="s">
        <v>217</v>
      </c>
    </row>
    <row r="10" spans="1:8" ht="15">
      <c r="A10" s="4" t="s">
        <v>42</v>
      </c>
      <c r="B10" s="5" t="s">
        <v>36</v>
      </c>
      <c r="D10" s="15" t="s">
        <v>44</v>
      </c>
      <c r="E10" s="15"/>
      <c r="F10" s="15"/>
      <c r="G10" s="15"/>
      <c r="H10" s="15"/>
    </row>
    <row r="11" spans="1:8">
      <c r="D11" s="16" t="s">
        <v>45</v>
      </c>
      <c r="E11" s="16"/>
      <c r="F11" s="16"/>
      <c r="G11" s="16"/>
      <c r="H11" s="16"/>
    </row>
    <row r="12" spans="1:8">
      <c r="D12" s="16"/>
      <c r="E12" s="16"/>
      <c r="F12" s="16"/>
      <c r="G12" s="16"/>
      <c r="H12" s="16"/>
    </row>
    <row r="13" spans="1:8">
      <c r="D13" s="16"/>
      <c r="E13" s="16"/>
      <c r="F13" s="16"/>
      <c r="G13" s="16"/>
      <c r="H13" s="16"/>
    </row>
    <row r="14" spans="1:8">
      <c r="D14" s="16"/>
      <c r="E14" s="16"/>
      <c r="F14" s="16"/>
      <c r="G14" s="16"/>
      <c r="H14" s="16"/>
    </row>
    <row r="15" spans="1:8">
      <c r="D15" s="16"/>
      <c r="E15" s="16"/>
      <c r="F15" s="16"/>
      <c r="G15" s="16"/>
      <c r="H15" s="16"/>
    </row>
  </sheetData>
  <mergeCells count="4">
    <mergeCell ref="A1:H1"/>
    <mergeCell ref="D3:H3"/>
    <mergeCell ref="D10:H10"/>
    <mergeCell ref="D11:H15"/>
  </mergeCells>
  <dataValidations count="1">
    <dataValidation type="list" sqref="B10" xr:uid="{00000000-0002-0000-0100-000000000000}">
      <formula1>"Not Started,In Progress,Completed,Blocked"</formula1>
    </dataValidation>
  </dataValidations>
  <hyperlinks>
    <hyperlink ref="B8" r:id="rId1" xr:uid="{7A5DEE27-E5E7-4EA4-A3C4-CAD2C70B22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abSelected="1" topLeftCell="A11" zoomScale="68" workbookViewId="0">
      <selection activeCell="G18" sqref="G18"/>
    </sheetView>
  </sheetViews>
  <sheetFormatPr defaultRowHeight="14.25"/>
  <cols>
    <col min="1" max="1" width="11" customWidth="1"/>
    <col min="2" max="2" width="26" customWidth="1"/>
    <col min="3" max="3" width="44" customWidth="1"/>
    <col min="4" max="4" width="25" customWidth="1"/>
    <col min="5" max="7" width="15" customWidth="1"/>
    <col min="8" max="8" width="12" customWidth="1"/>
    <col min="9" max="10" width="34" customWidth="1"/>
  </cols>
  <sheetData>
    <row r="1" spans="1:10" ht="33.950000000000003" customHeight="1">
      <c r="A1" s="13" t="s">
        <v>46</v>
      </c>
      <c r="B1" s="13"/>
      <c r="C1" s="13"/>
      <c r="D1" s="13"/>
      <c r="E1" s="13"/>
      <c r="F1" s="13"/>
      <c r="G1" s="13"/>
      <c r="H1" s="13"/>
      <c r="I1" s="13"/>
      <c r="J1" s="13"/>
    </row>
    <row r="3" spans="1:10" ht="30" customHeight="1">
      <c r="A3" s="1" t="s">
        <v>47</v>
      </c>
      <c r="B3" s="1" t="s">
        <v>48</v>
      </c>
      <c r="C3" s="1" t="s">
        <v>49</v>
      </c>
      <c r="D3" s="1" t="s">
        <v>50</v>
      </c>
      <c r="E3" s="1" t="s">
        <v>51</v>
      </c>
      <c r="F3" s="1" t="s">
        <v>52</v>
      </c>
      <c r="G3" s="1" t="s">
        <v>53</v>
      </c>
      <c r="H3" s="1" t="s">
        <v>54</v>
      </c>
      <c r="I3" s="1" t="s">
        <v>55</v>
      </c>
      <c r="J3" s="1" t="s">
        <v>56</v>
      </c>
    </row>
    <row r="4" spans="1:10" ht="99.75">
      <c r="A4" s="2" t="s">
        <v>57</v>
      </c>
      <c r="B4" s="2" t="s">
        <v>58</v>
      </c>
      <c r="C4" s="2" t="s">
        <v>59</v>
      </c>
      <c r="D4" s="5" t="s">
        <v>163</v>
      </c>
      <c r="E4" s="10">
        <v>46283</v>
      </c>
      <c r="F4" s="5" t="s">
        <v>34</v>
      </c>
      <c r="G4" s="5" t="s">
        <v>34</v>
      </c>
      <c r="H4" s="8">
        <v>1</v>
      </c>
      <c r="I4" s="11" t="s">
        <v>171</v>
      </c>
      <c r="J4" s="5"/>
    </row>
    <row r="5" spans="1:10" ht="57">
      <c r="A5" s="2" t="s">
        <v>60</v>
      </c>
      <c r="B5" s="2" t="s">
        <v>61</v>
      </c>
      <c r="C5" s="2" t="s">
        <v>62</v>
      </c>
      <c r="D5" s="5" t="s">
        <v>155</v>
      </c>
      <c r="E5" s="10">
        <v>46283</v>
      </c>
      <c r="F5" s="5" t="s">
        <v>34</v>
      </c>
      <c r="G5" s="5" t="s">
        <v>34</v>
      </c>
      <c r="H5" s="8">
        <v>1</v>
      </c>
      <c r="I5" s="11" t="s">
        <v>226</v>
      </c>
      <c r="J5" s="5"/>
    </row>
    <row r="6" spans="1:10" ht="99.75">
      <c r="A6" s="2" t="s">
        <v>63</v>
      </c>
      <c r="B6" s="2" t="s">
        <v>64</v>
      </c>
      <c r="C6" s="2" t="s">
        <v>65</v>
      </c>
      <c r="D6" s="5" t="s">
        <v>156</v>
      </c>
      <c r="E6" s="10">
        <v>46286</v>
      </c>
      <c r="F6" s="5" t="s">
        <v>34</v>
      </c>
      <c r="G6" s="5" t="s">
        <v>34</v>
      </c>
      <c r="H6" s="8">
        <v>1</v>
      </c>
      <c r="I6" s="11" t="s">
        <v>228</v>
      </c>
      <c r="J6" s="5"/>
    </row>
    <row r="7" spans="1:10" ht="379.5">
      <c r="A7" s="2" t="s">
        <v>66</v>
      </c>
      <c r="B7" s="2" t="s">
        <v>67</v>
      </c>
      <c r="C7" s="2" t="s">
        <v>68</v>
      </c>
      <c r="D7" s="5" t="s">
        <v>157</v>
      </c>
      <c r="E7" s="10">
        <v>46286</v>
      </c>
      <c r="F7" s="5" t="s">
        <v>34</v>
      </c>
      <c r="G7" s="5" t="s">
        <v>34</v>
      </c>
      <c r="H7" s="8">
        <v>1</v>
      </c>
      <c r="I7" s="12" t="s">
        <v>227</v>
      </c>
      <c r="J7" s="5"/>
    </row>
    <row r="8" spans="1:10" ht="99.75">
      <c r="A8" s="2" t="s">
        <v>69</v>
      </c>
      <c r="B8" s="2" t="s">
        <v>70</v>
      </c>
      <c r="C8" s="2" t="s">
        <v>71</v>
      </c>
      <c r="D8" s="5" t="s">
        <v>193</v>
      </c>
      <c r="E8" s="10">
        <v>46288</v>
      </c>
      <c r="F8" s="5" t="s">
        <v>34</v>
      </c>
      <c r="G8" s="5" t="s">
        <v>34</v>
      </c>
      <c r="H8" s="8">
        <v>1</v>
      </c>
      <c r="I8" s="11" t="s">
        <v>224</v>
      </c>
      <c r="J8" s="5"/>
    </row>
    <row r="9" spans="1:10" ht="57">
      <c r="A9" s="2" t="s">
        <v>72</v>
      </c>
      <c r="B9" s="2" t="s">
        <v>73</v>
      </c>
      <c r="C9" s="2" t="s">
        <v>74</v>
      </c>
      <c r="D9" s="5" t="s">
        <v>159</v>
      </c>
      <c r="E9" s="10">
        <v>46287</v>
      </c>
      <c r="F9" s="5" t="s">
        <v>34</v>
      </c>
      <c r="G9" s="5" t="s">
        <v>34</v>
      </c>
      <c r="H9" s="8">
        <v>1</v>
      </c>
      <c r="I9" s="11" t="s">
        <v>223</v>
      </c>
      <c r="J9" s="5"/>
    </row>
    <row r="10" spans="1:10" ht="57">
      <c r="A10" s="2" t="s">
        <v>75</v>
      </c>
      <c r="B10" s="2" t="s">
        <v>76</v>
      </c>
      <c r="C10" s="2" t="s">
        <v>77</v>
      </c>
      <c r="D10" s="5" t="s">
        <v>159</v>
      </c>
      <c r="E10" s="10">
        <v>46288</v>
      </c>
      <c r="F10" s="5" t="s">
        <v>34</v>
      </c>
      <c r="G10" s="5" t="s">
        <v>34</v>
      </c>
      <c r="H10" s="8">
        <v>1</v>
      </c>
      <c r="I10" s="11" t="s">
        <v>223</v>
      </c>
      <c r="J10" s="5"/>
    </row>
    <row r="11" spans="1:10" ht="99.75">
      <c r="A11" s="2" t="s">
        <v>78</v>
      </c>
      <c r="B11" s="2" t="s">
        <v>79</v>
      </c>
      <c r="C11" s="2" t="s">
        <v>80</v>
      </c>
      <c r="D11" s="5" t="s">
        <v>193</v>
      </c>
      <c r="E11" s="10">
        <v>46289</v>
      </c>
      <c r="F11" s="5" t="s">
        <v>34</v>
      </c>
      <c r="G11" s="5" t="s">
        <v>34</v>
      </c>
      <c r="H11" s="8">
        <v>1</v>
      </c>
      <c r="I11" s="11" t="s">
        <v>224</v>
      </c>
      <c r="J11" s="5"/>
    </row>
    <row r="12" spans="1:10" ht="28.5">
      <c r="A12" s="2" t="s">
        <v>81</v>
      </c>
      <c r="B12" s="2" t="s">
        <v>82</v>
      </c>
      <c r="C12" s="2" t="s">
        <v>83</v>
      </c>
      <c r="D12" s="5" t="s">
        <v>160</v>
      </c>
      <c r="E12" s="10">
        <v>46295</v>
      </c>
      <c r="F12" s="5" t="s">
        <v>34</v>
      </c>
      <c r="G12" s="5" t="s">
        <v>34</v>
      </c>
      <c r="H12" s="8">
        <v>1</v>
      </c>
      <c r="I12" s="5" t="s">
        <v>82</v>
      </c>
      <c r="J12" s="5"/>
    </row>
    <row r="13" spans="1:10" ht="28.5">
      <c r="A13" s="2" t="s">
        <v>84</v>
      </c>
      <c r="B13" s="2" t="s">
        <v>85</v>
      </c>
      <c r="C13" s="2" t="s">
        <v>86</v>
      </c>
      <c r="D13" s="5" t="s">
        <v>161</v>
      </c>
      <c r="E13" s="10">
        <v>46304</v>
      </c>
      <c r="F13" s="5" t="s">
        <v>34</v>
      </c>
      <c r="G13" s="5" t="s">
        <v>34</v>
      </c>
      <c r="H13" s="8">
        <v>1</v>
      </c>
      <c r="I13" s="5" t="s">
        <v>192</v>
      </c>
      <c r="J13" s="5"/>
    </row>
    <row r="14" spans="1:10" ht="28.5">
      <c r="A14" s="2" t="s">
        <v>87</v>
      </c>
      <c r="B14" s="2" t="s">
        <v>88</v>
      </c>
      <c r="C14" s="2" t="s">
        <v>89</v>
      </c>
      <c r="D14" s="5" t="s">
        <v>162</v>
      </c>
      <c r="E14" s="10">
        <v>46308</v>
      </c>
      <c r="F14" s="5" t="s">
        <v>34</v>
      </c>
      <c r="G14" s="5" t="s">
        <v>34</v>
      </c>
      <c r="H14" s="8">
        <v>1</v>
      </c>
      <c r="I14" s="11" t="s">
        <v>225</v>
      </c>
      <c r="J14" s="5"/>
    </row>
    <row r="15" spans="1:10">
      <c r="A15" s="2" t="s">
        <v>90</v>
      </c>
      <c r="B15" s="2" t="s">
        <v>91</v>
      </c>
      <c r="C15" s="2" t="s">
        <v>92</v>
      </c>
      <c r="D15" s="5" t="s">
        <v>162</v>
      </c>
      <c r="E15" s="10">
        <v>46278</v>
      </c>
      <c r="F15" s="5" t="s">
        <v>34</v>
      </c>
      <c r="G15" s="5" t="s">
        <v>34</v>
      </c>
      <c r="H15" s="8">
        <v>1</v>
      </c>
      <c r="I15" s="5" t="s">
        <v>230</v>
      </c>
      <c r="J15" s="5"/>
    </row>
    <row r="16" spans="1:10">
      <c r="A16" s="2"/>
      <c r="B16" s="2"/>
      <c r="C16" s="2"/>
      <c r="D16" s="5"/>
      <c r="E16" s="5"/>
      <c r="F16" s="5"/>
      <c r="G16" s="5"/>
      <c r="H16" s="8"/>
      <c r="I16" s="5"/>
      <c r="J16" s="5"/>
    </row>
    <row r="17" spans="1:10">
      <c r="A17" s="2"/>
      <c r="B17" s="2"/>
      <c r="C17" s="2"/>
      <c r="D17" s="5"/>
      <c r="E17" s="5"/>
      <c r="F17" s="5"/>
      <c r="G17" s="5"/>
      <c r="H17" s="8"/>
      <c r="I17" s="5"/>
      <c r="J17" s="5"/>
    </row>
    <row r="18" spans="1:10">
      <c r="A18" s="2"/>
      <c r="B18" s="2"/>
      <c r="C18" s="2"/>
      <c r="D18" s="5"/>
      <c r="E18" s="5"/>
      <c r="F18" s="5"/>
      <c r="G18" s="5"/>
      <c r="H18" s="8"/>
      <c r="I18" s="5"/>
      <c r="J18" s="5"/>
    </row>
    <row r="19" spans="1:10">
      <c r="A19" s="2"/>
      <c r="B19" s="2"/>
      <c r="C19" s="2"/>
      <c r="D19" s="5"/>
      <c r="E19" s="5"/>
      <c r="F19" s="5"/>
      <c r="G19" s="5"/>
      <c r="H19" s="8"/>
      <c r="I19" s="5"/>
      <c r="J19" s="5"/>
    </row>
    <row r="20" spans="1:10">
      <c r="A20" s="2"/>
      <c r="B20" s="2"/>
      <c r="C20" s="2"/>
      <c r="D20" s="5"/>
      <c r="E20" s="5"/>
      <c r="F20" s="5"/>
      <c r="G20" s="5"/>
      <c r="H20" s="8"/>
      <c r="I20" s="5"/>
      <c r="J20" s="5"/>
    </row>
    <row r="21" spans="1:10">
      <c r="A21" s="2"/>
      <c r="B21" s="2"/>
      <c r="C21" s="2"/>
      <c r="D21" s="5"/>
      <c r="E21" s="5"/>
      <c r="F21" s="5"/>
      <c r="G21" s="5"/>
      <c r="H21" s="8"/>
      <c r="I21" s="5"/>
      <c r="J21" s="5"/>
    </row>
    <row r="22" spans="1:10">
      <c r="A22" s="2"/>
      <c r="B22" s="2"/>
      <c r="C22" s="2"/>
      <c r="D22" s="5"/>
      <c r="E22" s="5"/>
      <c r="F22" s="5"/>
      <c r="G22" s="5"/>
      <c r="H22" s="8"/>
      <c r="I22" s="5"/>
      <c r="J22" s="5"/>
    </row>
    <row r="23" spans="1:10">
      <c r="A23" s="2"/>
      <c r="B23" s="2"/>
      <c r="C23" s="2"/>
      <c r="D23" s="5"/>
      <c r="E23" s="5"/>
      <c r="F23" s="5"/>
      <c r="G23" s="5"/>
      <c r="H23" s="8"/>
      <c r="I23" s="5"/>
      <c r="J23" s="5"/>
    </row>
    <row r="24" spans="1:10">
      <c r="A24" s="2"/>
      <c r="B24" s="2"/>
      <c r="C24" s="2"/>
      <c r="D24" s="5"/>
      <c r="E24" s="5"/>
      <c r="F24" s="5"/>
      <c r="G24" s="5"/>
      <c r="H24" s="8"/>
      <c r="I24" s="5"/>
      <c r="J24" s="5"/>
    </row>
    <row r="25" spans="1:10">
      <c r="A25" s="2"/>
      <c r="B25" s="2"/>
      <c r="C25" s="2"/>
      <c r="D25" s="5"/>
      <c r="E25" s="5"/>
      <c r="F25" s="5"/>
      <c r="G25" s="5"/>
      <c r="H25" s="8"/>
      <c r="I25" s="5"/>
      <c r="J25" s="5"/>
    </row>
    <row r="26" spans="1:10">
      <c r="A26" s="2"/>
      <c r="B26" s="2"/>
      <c r="C26" s="2"/>
      <c r="D26" s="5"/>
      <c r="E26" s="5"/>
      <c r="F26" s="5"/>
      <c r="G26" s="5"/>
      <c r="H26" s="8"/>
      <c r="I26" s="5"/>
      <c r="J26" s="5"/>
    </row>
    <row r="27" spans="1:10">
      <c r="A27" s="2"/>
      <c r="B27" s="2"/>
      <c r="C27" s="2"/>
      <c r="D27" s="5"/>
      <c r="E27" s="5"/>
      <c r="F27" s="5"/>
      <c r="G27" s="5"/>
      <c r="H27" s="8"/>
      <c r="I27" s="5"/>
      <c r="J27" s="5"/>
    </row>
    <row r="28" spans="1:10">
      <c r="A28" s="2"/>
      <c r="B28" s="2"/>
      <c r="C28" s="2"/>
      <c r="D28" s="5"/>
      <c r="E28" s="5"/>
      <c r="F28" s="5"/>
      <c r="G28" s="5"/>
      <c r="H28" s="8"/>
      <c r="I28" s="5"/>
      <c r="J28" s="5"/>
    </row>
    <row r="29" spans="1:10">
      <c r="A29" s="2"/>
      <c r="B29" s="2"/>
      <c r="C29" s="2"/>
      <c r="D29" s="5"/>
      <c r="E29" s="5"/>
      <c r="F29" s="5"/>
      <c r="G29" s="5"/>
      <c r="H29" s="8"/>
      <c r="I29" s="5"/>
      <c r="J29" s="5"/>
    </row>
    <row r="30" spans="1:10">
      <c r="A30" s="2"/>
      <c r="B30" s="2"/>
      <c r="C30" s="2"/>
      <c r="D30" s="5"/>
      <c r="E30" s="5"/>
      <c r="F30" s="5"/>
      <c r="G30" s="5"/>
      <c r="H30" s="8"/>
      <c r="I30" s="5"/>
      <c r="J30" s="5"/>
    </row>
    <row r="31" spans="1:10">
      <c r="A31" s="2"/>
      <c r="B31" s="2"/>
      <c r="C31" s="2"/>
      <c r="D31" s="5"/>
      <c r="E31" s="5"/>
      <c r="F31" s="5"/>
      <c r="G31" s="5"/>
      <c r="H31" s="8"/>
      <c r="I31" s="5"/>
      <c r="J31" s="5"/>
    </row>
    <row r="32" spans="1:10">
      <c r="A32" s="2"/>
      <c r="B32" s="2"/>
      <c r="C32" s="2"/>
      <c r="D32" s="5"/>
      <c r="E32" s="5"/>
      <c r="F32" s="5"/>
      <c r="G32" s="5"/>
      <c r="H32" s="8"/>
      <c r="I32" s="5"/>
      <c r="J32" s="5"/>
    </row>
    <row r="33" spans="1:10">
      <c r="A33" s="2"/>
      <c r="B33" s="2"/>
      <c r="C33" s="2"/>
      <c r="D33" s="5"/>
      <c r="E33" s="5"/>
      <c r="F33" s="5"/>
      <c r="G33" s="5"/>
      <c r="H33" s="8"/>
      <c r="I33" s="5"/>
      <c r="J33" s="5"/>
    </row>
  </sheetData>
  <mergeCells count="1">
    <mergeCell ref="A1:J1"/>
  </mergeCells>
  <conditionalFormatting sqref="G4:G33">
    <cfRule type="expression" dxfId="4" priority="1">
      <formula>G4="Completed"</formula>
    </cfRule>
    <cfRule type="expression" dxfId="3" priority="2">
      <formula>G4="Blocked"</formula>
    </cfRule>
  </conditionalFormatting>
  <conditionalFormatting sqref="H4:H33">
    <cfRule type="dataBar" priority="3">
      <dataBar>
        <cfvo type="min"/>
        <cfvo type="max"/>
        <color rgb="FFA02B93"/>
      </dataBar>
    </cfRule>
    <cfRule type="dataBar" priority="4">
      <dataBar>
        <cfvo type="min"/>
        <cfvo type="max"/>
        <color rgb="FFA02B93"/>
      </dataBar>
      <extLst>
        <ext xmlns:x14="http://schemas.microsoft.com/office/spreadsheetml/2009/9/main" uri="{B025F937-C7B1-47D3-B67F-A62EFF666E3E}">
          <x14:id>{A4682585-4117-09FE-7F56-FC8BDAE995FA}</x14:id>
        </ext>
      </extLst>
    </cfRule>
  </conditionalFormatting>
  <dataValidations count="1">
    <dataValidation type="list" sqref="G4:G33" xr:uid="{00000000-0002-0000-0200-000000000000}">
      <formula1>"Not Started,In Progress,Completed,Blocked"</formula1>
    </dataValidation>
  </dataValidations>
  <hyperlinks>
    <hyperlink ref="I9" r:id="rId1" xr:uid="{2E6107C7-A3DE-448D-8CFB-FAA6D2A490C2}"/>
    <hyperlink ref="I4" r:id="rId2" location="Uhttps%3A%2F%2Fdrive.google.com%2Fuc%3Fid%3D1rESYHt5o1iQarVEFVaAx0mJylvMq4XkD%26export%3Ddownload" xr:uid="{2C1AB1D1-B0F7-4D0D-B352-46BFD02BC847}"/>
    <hyperlink ref="I6" r:id="rId3" location="Uhttps%3A%2F%2Fdrive.google.com%2Fuc%3Fid%3D1Lxjyn7C33eKcqnTFqsEF9ZGF_tcGvsgr%26export%3Ddownload" xr:uid="{355BCCA4-7894-4A1D-B30C-EAF1DCC0DE32}"/>
    <hyperlink ref="I7" r:id="rId4" location="Uhttps%3A%2F%2Fdrive.google.com%2Fuc%3Fid%3D1Bkmql88aJhFnxKD1ADPUpkwqfoEABKN5%26export%3Ddownload" display="https://viewer.diagrams.net/?tags=%7B%7D&amp;lightbox=1&amp;highlight=0000ff&amp;edit=_blank&amp;layers=1&amp;nav=1&amp;title=Sequence%20Diagram%20-%20Overtime.drawio&amp;dark=auto#Uhttps%3A%2F%2Fdrive.google.com%2Fuc%3Fid%3D1Bkmql88aJhFnxKD1ADPUpkwqfoEABKN5%26export%3Ddownload" xr:uid="{9F80DF1F-1A11-48B5-A1D0-BD96E738EA50}"/>
    <hyperlink ref="I8" r:id="rId5" xr:uid="{06C77801-245F-4264-B312-4FFF247E03F5}"/>
    <hyperlink ref="I10" r:id="rId6" xr:uid="{EDADBB19-03AA-410A-A2EE-55A59051E615}"/>
    <hyperlink ref="I11" r:id="rId7" xr:uid="{9830CD24-744C-46E4-9E52-D326D6F64D32}"/>
    <hyperlink ref="I14" r:id="rId8" xr:uid="{7D70AB5A-823D-49FD-A296-FEDB537D1C71}"/>
    <hyperlink ref="I5" r:id="rId9" location="G1WnnMAADEEE-IsjPr1TTquf-2JKCgalI1#%7B%22pageId%22%3A%220YesyBUdXUmlOLOw5Ugs%22%7D" xr:uid="{26ADDA44-418D-4A9A-BE8E-A78689694655}"/>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682585-4117-09FE-7F56-FC8BDAE995FA}">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A3" workbookViewId="0">
      <selection activeCell="H6" sqref="H6"/>
    </sheetView>
  </sheetViews>
  <sheetFormatPr defaultRowHeight="14.25"/>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spans="1:12" ht="33.950000000000003" customHeight="1">
      <c r="A1" s="13" t="s">
        <v>93</v>
      </c>
      <c r="B1" s="13"/>
      <c r="C1" s="13"/>
      <c r="D1" s="13"/>
      <c r="E1" s="13"/>
      <c r="F1" s="13"/>
      <c r="G1" s="13"/>
      <c r="H1" s="13"/>
      <c r="I1" s="13"/>
      <c r="J1" s="13"/>
      <c r="K1" s="13"/>
      <c r="L1" s="13"/>
    </row>
    <row r="3" spans="1:12" ht="30" customHeight="1">
      <c r="A3" s="1" t="s">
        <v>94</v>
      </c>
      <c r="B3" s="1" t="s">
        <v>95</v>
      </c>
      <c r="C3" s="1" t="s">
        <v>96</v>
      </c>
      <c r="D3" s="1" t="s">
        <v>97</v>
      </c>
      <c r="E3" s="1" t="s">
        <v>98</v>
      </c>
      <c r="F3" s="1" t="s">
        <v>99</v>
      </c>
      <c r="G3" s="1" t="s">
        <v>100</v>
      </c>
      <c r="H3" s="1" t="s">
        <v>55</v>
      </c>
      <c r="I3" s="1" t="s">
        <v>101</v>
      </c>
      <c r="J3" s="1" t="s">
        <v>102</v>
      </c>
      <c r="K3" s="1" t="s">
        <v>103</v>
      </c>
      <c r="L3" s="1" t="s">
        <v>104</v>
      </c>
    </row>
    <row r="4" spans="1:12" ht="42.75">
      <c r="A4" s="5" t="s">
        <v>160</v>
      </c>
      <c r="B4" s="5">
        <v>222010648</v>
      </c>
      <c r="C4" s="5" t="s">
        <v>164</v>
      </c>
      <c r="D4" s="5" t="s">
        <v>165</v>
      </c>
      <c r="E4" s="5" t="s">
        <v>166</v>
      </c>
      <c r="F4" s="10">
        <v>46280</v>
      </c>
      <c r="G4" s="5" t="s">
        <v>167</v>
      </c>
      <c r="H4" s="5" t="s">
        <v>82</v>
      </c>
      <c r="I4" s="5" t="s">
        <v>168</v>
      </c>
      <c r="J4" s="10">
        <v>46290</v>
      </c>
      <c r="K4" s="5"/>
      <c r="L4" s="5" t="s">
        <v>34</v>
      </c>
    </row>
    <row r="5" spans="1:12" ht="99.75">
      <c r="A5" s="5" t="s">
        <v>163</v>
      </c>
      <c r="B5" s="5">
        <v>221008431</v>
      </c>
      <c r="C5" s="5" t="s">
        <v>169</v>
      </c>
      <c r="D5" s="5" t="s">
        <v>194</v>
      </c>
      <c r="E5" s="5" t="s">
        <v>195</v>
      </c>
      <c r="F5" s="10">
        <v>46283</v>
      </c>
      <c r="G5" s="5" t="s">
        <v>170</v>
      </c>
      <c r="H5" s="11" t="s">
        <v>171</v>
      </c>
      <c r="I5" s="5" t="s">
        <v>168</v>
      </c>
      <c r="J5" s="10">
        <v>46290</v>
      </c>
      <c r="K5" s="5"/>
      <c r="L5" s="5" t="s">
        <v>34</v>
      </c>
    </row>
    <row r="6" spans="1:12" ht="57">
      <c r="A6" s="5" t="s">
        <v>172</v>
      </c>
      <c r="B6" s="5">
        <v>222078169</v>
      </c>
      <c r="C6" s="5" t="s">
        <v>173</v>
      </c>
      <c r="D6" s="5" t="s">
        <v>174</v>
      </c>
      <c r="E6" s="5" t="s">
        <v>175</v>
      </c>
      <c r="F6" s="10">
        <v>46283</v>
      </c>
      <c r="G6" s="5" t="s">
        <v>170</v>
      </c>
      <c r="H6" s="11" t="s">
        <v>226</v>
      </c>
      <c r="I6" s="5" t="s">
        <v>168</v>
      </c>
      <c r="J6" s="10">
        <v>46290</v>
      </c>
      <c r="K6" s="5"/>
      <c r="L6" s="5" t="s">
        <v>34</v>
      </c>
    </row>
    <row r="7" spans="1:12" ht="71.25">
      <c r="A7" s="5" t="s">
        <v>176</v>
      </c>
      <c r="B7" s="5">
        <v>221014651</v>
      </c>
      <c r="C7" s="5" t="s">
        <v>173</v>
      </c>
      <c r="D7" s="5" t="s">
        <v>174</v>
      </c>
      <c r="E7" s="5" t="s">
        <v>177</v>
      </c>
      <c r="F7" s="10">
        <v>46283</v>
      </c>
      <c r="G7" s="5" t="s">
        <v>170</v>
      </c>
      <c r="H7" s="11" t="s">
        <v>226</v>
      </c>
      <c r="I7" s="5" t="s">
        <v>168</v>
      </c>
      <c r="J7" s="10">
        <v>46290</v>
      </c>
      <c r="K7" s="5"/>
      <c r="L7" s="5" t="s">
        <v>34</v>
      </c>
    </row>
    <row r="8" spans="1:12" ht="99.75">
      <c r="A8" s="5" t="s">
        <v>156</v>
      </c>
      <c r="B8" s="5">
        <v>221019628</v>
      </c>
      <c r="C8" s="5" t="s">
        <v>183</v>
      </c>
      <c r="D8" s="5" t="s">
        <v>182</v>
      </c>
      <c r="E8" s="5" t="s">
        <v>179</v>
      </c>
      <c r="F8" s="10">
        <v>46286</v>
      </c>
      <c r="G8" s="5" t="s">
        <v>180</v>
      </c>
      <c r="H8" s="11" t="s">
        <v>228</v>
      </c>
      <c r="I8" s="5" t="s">
        <v>168</v>
      </c>
      <c r="J8" s="10">
        <v>46290</v>
      </c>
      <c r="K8" s="5"/>
      <c r="L8" s="5" t="s">
        <v>34</v>
      </c>
    </row>
    <row r="9" spans="1:12" ht="128.25">
      <c r="A9" s="5" t="s">
        <v>157</v>
      </c>
      <c r="B9" s="5">
        <v>221003714</v>
      </c>
      <c r="C9" s="5" t="s">
        <v>183</v>
      </c>
      <c r="D9" s="5" t="s">
        <v>181</v>
      </c>
      <c r="E9" s="5" t="s">
        <v>179</v>
      </c>
      <c r="F9" s="10">
        <v>46286</v>
      </c>
      <c r="G9" s="5" t="s">
        <v>180</v>
      </c>
      <c r="H9" s="11" t="s">
        <v>229</v>
      </c>
      <c r="I9" s="5" t="s">
        <v>168</v>
      </c>
      <c r="J9" s="10">
        <v>46290</v>
      </c>
      <c r="K9" s="5"/>
      <c r="L9" s="5" t="s">
        <v>34</v>
      </c>
    </row>
    <row r="10" spans="1:12" ht="99.75">
      <c r="A10" s="5" t="s">
        <v>158</v>
      </c>
      <c r="B10" s="5">
        <v>221049921</v>
      </c>
      <c r="C10" s="5" t="s">
        <v>173</v>
      </c>
      <c r="D10" s="5" t="s">
        <v>184</v>
      </c>
      <c r="E10" s="5" t="s">
        <v>185</v>
      </c>
      <c r="F10" s="10">
        <v>46288</v>
      </c>
      <c r="G10" s="5" t="s">
        <v>186</v>
      </c>
      <c r="H10" s="11" t="s">
        <v>224</v>
      </c>
      <c r="I10" s="5" t="s">
        <v>168</v>
      </c>
      <c r="J10" s="10">
        <v>46290</v>
      </c>
      <c r="K10" s="5"/>
      <c r="L10" s="5" t="s">
        <v>34</v>
      </c>
    </row>
    <row r="11" spans="1:12" ht="99.75">
      <c r="A11" s="5" t="s">
        <v>188</v>
      </c>
      <c r="B11" s="5">
        <v>221014841</v>
      </c>
      <c r="C11" s="5" t="s">
        <v>173</v>
      </c>
      <c r="D11" s="5" t="s">
        <v>184</v>
      </c>
      <c r="E11" s="5" t="s">
        <v>187</v>
      </c>
      <c r="F11" s="10">
        <v>46288</v>
      </c>
      <c r="G11" s="5" t="s">
        <v>186</v>
      </c>
      <c r="H11" s="11" t="s">
        <v>224</v>
      </c>
      <c r="I11" s="5" t="s">
        <v>168</v>
      </c>
      <c r="J11" s="10">
        <v>46290</v>
      </c>
      <c r="K11" s="5"/>
      <c r="L11" s="5" t="s">
        <v>34</v>
      </c>
    </row>
    <row r="12" spans="1:12" ht="57">
      <c r="A12" s="5" t="s">
        <v>159</v>
      </c>
      <c r="B12" s="5">
        <v>222001265</v>
      </c>
      <c r="C12" s="5" t="s">
        <v>178</v>
      </c>
      <c r="D12" s="5" t="s">
        <v>196</v>
      </c>
      <c r="E12" s="5" t="s">
        <v>197</v>
      </c>
      <c r="F12" s="10">
        <v>46287</v>
      </c>
      <c r="G12" s="5" t="s">
        <v>189</v>
      </c>
      <c r="H12" s="11" t="s">
        <v>223</v>
      </c>
      <c r="I12" s="5" t="s">
        <v>168</v>
      </c>
      <c r="J12" s="10">
        <v>46290</v>
      </c>
      <c r="K12" s="5"/>
      <c r="L12" s="5" t="s">
        <v>34</v>
      </c>
    </row>
    <row r="13" spans="1:12" ht="57">
      <c r="A13" s="5" t="s">
        <v>161</v>
      </c>
      <c r="B13" s="5">
        <v>223043312</v>
      </c>
      <c r="C13" s="5" t="s">
        <v>178</v>
      </c>
      <c r="D13" s="5" t="s">
        <v>191</v>
      </c>
      <c r="E13" s="5" t="s">
        <v>190</v>
      </c>
      <c r="F13" s="10">
        <v>46308</v>
      </c>
      <c r="G13" s="5" t="s">
        <v>216</v>
      </c>
      <c r="H13" s="5" t="s">
        <v>192</v>
      </c>
      <c r="I13" s="5" t="s">
        <v>168</v>
      </c>
      <c r="J13" s="10">
        <v>46300</v>
      </c>
      <c r="K13" s="5"/>
      <c r="L13" s="5" t="s">
        <v>34</v>
      </c>
    </row>
    <row r="14" spans="1:12">
      <c r="A14" s="5"/>
      <c r="B14" s="5"/>
      <c r="C14" s="5"/>
      <c r="D14" s="5"/>
      <c r="E14" s="5"/>
      <c r="F14" s="5"/>
      <c r="G14" s="5"/>
      <c r="H14" s="5"/>
      <c r="I14" s="5" t="s">
        <v>105</v>
      </c>
      <c r="J14" s="5"/>
      <c r="K14" s="5"/>
      <c r="L14" s="5" t="s">
        <v>43</v>
      </c>
    </row>
    <row r="15" spans="1:12">
      <c r="A15" s="5"/>
      <c r="B15" s="5"/>
      <c r="C15" s="5"/>
      <c r="D15" s="5"/>
      <c r="E15" s="5"/>
      <c r="F15" s="5"/>
      <c r="G15" s="5"/>
      <c r="H15" s="5"/>
      <c r="I15" s="5" t="s">
        <v>105</v>
      </c>
      <c r="J15" s="5"/>
      <c r="K15" s="5"/>
      <c r="L15" s="5" t="s">
        <v>43</v>
      </c>
    </row>
    <row r="16" spans="1:12">
      <c r="A16" s="5"/>
      <c r="B16" s="5"/>
      <c r="C16" s="5"/>
      <c r="D16" s="5"/>
      <c r="E16" s="5"/>
      <c r="F16" s="5"/>
      <c r="G16" s="5"/>
      <c r="H16" s="5"/>
      <c r="I16" s="5" t="s">
        <v>105</v>
      </c>
      <c r="J16" s="5"/>
      <c r="K16" s="5"/>
      <c r="L16" s="5" t="s">
        <v>43</v>
      </c>
    </row>
    <row r="17" spans="1:12">
      <c r="A17" s="5"/>
      <c r="B17" s="5"/>
      <c r="C17" s="5"/>
      <c r="D17" s="5"/>
      <c r="E17" s="5"/>
      <c r="F17" s="5"/>
      <c r="G17" s="5"/>
      <c r="H17" s="5"/>
      <c r="I17" s="5" t="s">
        <v>105</v>
      </c>
      <c r="J17" s="5"/>
      <c r="K17" s="5"/>
      <c r="L17" s="5" t="s">
        <v>43</v>
      </c>
    </row>
    <row r="18" spans="1:12">
      <c r="A18" s="5"/>
      <c r="B18" s="5"/>
      <c r="C18" s="5"/>
      <c r="D18" s="5"/>
      <c r="E18" s="5"/>
      <c r="F18" s="5"/>
      <c r="G18" s="5"/>
      <c r="H18" s="5"/>
      <c r="I18" s="5" t="s">
        <v>105</v>
      </c>
      <c r="J18" s="5"/>
      <c r="K18" s="5"/>
      <c r="L18" s="5" t="s">
        <v>43</v>
      </c>
    </row>
    <row r="19" spans="1:12">
      <c r="A19" s="5"/>
      <c r="B19" s="5"/>
      <c r="C19" s="5"/>
      <c r="D19" s="5"/>
      <c r="E19" s="5"/>
      <c r="F19" s="5"/>
      <c r="G19" s="5"/>
      <c r="H19" s="5"/>
      <c r="I19" s="5" t="s">
        <v>105</v>
      </c>
      <c r="J19" s="5"/>
      <c r="K19" s="5"/>
      <c r="L19" s="5" t="s">
        <v>43</v>
      </c>
    </row>
    <row r="20" spans="1:12">
      <c r="A20" s="5"/>
      <c r="B20" s="5"/>
      <c r="C20" s="5"/>
      <c r="D20" s="5"/>
      <c r="E20" s="5"/>
      <c r="F20" s="5"/>
      <c r="G20" s="5"/>
      <c r="H20" s="5"/>
      <c r="I20" s="5" t="s">
        <v>105</v>
      </c>
      <c r="J20" s="5"/>
      <c r="K20" s="5"/>
      <c r="L20" s="5" t="s">
        <v>43</v>
      </c>
    </row>
    <row r="21" spans="1:12">
      <c r="A21" s="5"/>
      <c r="B21" s="5"/>
      <c r="C21" s="5"/>
      <c r="D21" s="5"/>
      <c r="E21" s="5"/>
      <c r="F21" s="5"/>
      <c r="G21" s="5"/>
      <c r="H21" s="5"/>
      <c r="I21" s="5" t="s">
        <v>105</v>
      </c>
      <c r="J21" s="5"/>
      <c r="K21" s="5"/>
      <c r="L21" s="5" t="s">
        <v>43</v>
      </c>
    </row>
    <row r="22" spans="1:12">
      <c r="A22" s="5"/>
      <c r="B22" s="5"/>
      <c r="C22" s="5"/>
      <c r="D22" s="5"/>
      <c r="E22" s="5"/>
      <c r="F22" s="5"/>
      <c r="G22" s="5"/>
      <c r="H22" s="5"/>
      <c r="I22" s="5" t="s">
        <v>105</v>
      </c>
      <c r="J22" s="5"/>
      <c r="K22" s="5"/>
      <c r="L22" s="5" t="s">
        <v>43</v>
      </c>
    </row>
    <row r="23" spans="1:12">
      <c r="A23" s="5"/>
      <c r="B23" s="5"/>
      <c r="C23" s="5"/>
      <c r="D23" s="5"/>
      <c r="E23" s="5"/>
      <c r="F23" s="5"/>
      <c r="G23" s="5"/>
      <c r="H23" s="5"/>
      <c r="I23" s="5" t="s">
        <v>105</v>
      </c>
      <c r="J23" s="5"/>
      <c r="K23" s="5"/>
      <c r="L23" s="5" t="s">
        <v>43</v>
      </c>
    </row>
    <row r="24" spans="1:12">
      <c r="A24" s="5"/>
      <c r="B24" s="5"/>
      <c r="C24" s="5"/>
      <c r="D24" s="5"/>
      <c r="E24" s="5"/>
      <c r="F24" s="5"/>
      <c r="G24" s="5"/>
      <c r="H24" s="5"/>
      <c r="I24" s="5" t="s">
        <v>105</v>
      </c>
      <c r="J24" s="5"/>
      <c r="K24" s="5"/>
      <c r="L24" s="5" t="s">
        <v>43</v>
      </c>
    </row>
    <row r="25" spans="1:12">
      <c r="A25" s="5"/>
      <c r="B25" s="5"/>
      <c r="C25" s="5"/>
      <c r="D25" s="5"/>
      <c r="E25" s="5"/>
      <c r="F25" s="5"/>
      <c r="G25" s="5"/>
      <c r="H25" s="5"/>
      <c r="I25" s="5" t="s">
        <v>105</v>
      </c>
      <c r="J25" s="5"/>
      <c r="K25" s="5"/>
      <c r="L25" s="5" t="s">
        <v>43</v>
      </c>
    </row>
    <row r="26" spans="1:12">
      <c r="A26" s="5"/>
      <c r="B26" s="5"/>
      <c r="C26" s="5"/>
      <c r="D26" s="5"/>
      <c r="E26" s="5"/>
      <c r="F26" s="5"/>
      <c r="G26" s="5"/>
      <c r="H26" s="5"/>
      <c r="I26" s="5" t="s">
        <v>105</v>
      </c>
      <c r="J26" s="5"/>
      <c r="K26" s="5"/>
      <c r="L26" s="5" t="s">
        <v>43</v>
      </c>
    </row>
    <row r="27" spans="1:12">
      <c r="A27" s="5"/>
      <c r="B27" s="5"/>
      <c r="C27" s="5"/>
      <c r="D27" s="5"/>
      <c r="E27" s="5"/>
      <c r="F27" s="5"/>
      <c r="G27" s="5"/>
      <c r="H27" s="5"/>
      <c r="I27" s="5" t="s">
        <v>105</v>
      </c>
      <c r="J27" s="5"/>
      <c r="K27" s="5"/>
      <c r="L27" s="5" t="s">
        <v>43</v>
      </c>
    </row>
    <row r="28" spans="1:12">
      <c r="A28" s="5"/>
      <c r="B28" s="5"/>
      <c r="C28" s="5"/>
      <c r="D28" s="5"/>
      <c r="E28" s="5"/>
      <c r="F28" s="5"/>
      <c r="G28" s="5"/>
      <c r="H28" s="5"/>
      <c r="I28" s="5" t="s">
        <v>105</v>
      </c>
      <c r="J28" s="5"/>
      <c r="K28" s="5"/>
      <c r="L28" s="5" t="s">
        <v>43</v>
      </c>
    </row>
    <row r="29" spans="1:12">
      <c r="A29" s="5"/>
      <c r="B29" s="5"/>
      <c r="C29" s="5"/>
      <c r="D29" s="5"/>
      <c r="E29" s="5"/>
      <c r="F29" s="5"/>
      <c r="G29" s="5"/>
      <c r="H29" s="5"/>
      <c r="I29" s="5" t="s">
        <v>105</v>
      </c>
      <c r="J29" s="5"/>
      <c r="K29" s="5"/>
      <c r="L29" s="5" t="s">
        <v>43</v>
      </c>
    </row>
    <row r="30" spans="1:12">
      <c r="A30" s="5"/>
      <c r="B30" s="5"/>
      <c r="C30" s="5"/>
      <c r="D30" s="5"/>
      <c r="E30" s="5"/>
      <c r="F30" s="5"/>
      <c r="G30" s="5"/>
      <c r="H30" s="5"/>
      <c r="I30" s="5" t="s">
        <v>105</v>
      </c>
      <c r="J30" s="5"/>
      <c r="K30" s="5"/>
      <c r="L30" s="5" t="s">
        <v>43</v>
      </c>
    </row>
    <row r="31" spans="1:12">
      <c r="A31" s="5"/>
      <c r="B31" s="5"/>
      <c r="C31" s="5"/>
      <c r="D31" s="5"/>
      <c r="E31" s="5"/>
      <c r="F31" s="5"/>
      <c r="G31" s="5"/>
      <c r="H31" s="5"/>
      <c r="I31" s="5" t="s">
        <v>105</v>
      </c>
      <c r="J31" s="5"/>
      <c r="K31" s="5"/>
      <c r="L31" s="5" t="s">
        <v>43</v>
      </c>
    </row>
    <row r="32" spans="1:12">
      <c r="A32" s="5"/>
      <c r="B32" s="5"/>
      <c r="C32" s="5"/>
      <c r="D32" s="5"/>
      <c r="E32" s="5"/>
      <c r="F32" s="5"/>
      <c r="G32" s="5"/>
      <c r="H32" s="5"/>
      <c r="I32" s="5" t="s">
        <v>105</v>
      </c>
      <c r="J32" s="5"/>
      <c r="K32" s="5"/>
      <c r="L32" s="5" t="s">
        <v>43</v>
      </c>
    </row>
    <row r="33" spans="1:12">
      <c r="A33" s="5"/>
      <c r="B33" s="5"/>
      <c r="C33" s="5"/>
      <c r="D33" s="5"/>
      <c r="E33" s="5"/>
      <c r="F33" s="5"/>
      <c r="G33" s="5"/>
      <c r="H33" s="5"/>
      <c r="I33" s="5" t="s">
        <v>105</v>
      </c>
      <c r="J33" s="5"/>
      <c r="K33" s="5"/>
      <c r="L33" s="5" t="s">
        <v>43</v>
      </c>
    </row>
    <row r="34" spans="1:12">
      <c r="A34" s="5"/>
      <c r="B34" s="5"/>
      <c r="C34" s="5"/>
      <c r="D34" s="5"/>
      <c r="E34" s="5"/>
      <c r="F34" s="5"/>
      <c r="G34" s="5"/>
      <c r="H34" s="5"/>
      <c r="I34" s="5" t="s">
        <v>105</v>
      </c>
      <c r="J34" s="5"/>
      <c r="K34" s="5"/>
      <c r="L34" s="5" t="s">
        <v>43</v>
      </c>
    </row>
    <row r="35" spans="1:12">
      <c r="A35" s="5"/>
      <c r="B35" s="5"/>
      <c r="C35" s="5"/>
      <c r="D35" s="5"/>
      <c r="E35" s="5"/>
      <c r="F35" s="5"/>
      <c r="G35" s="5"/>
      <c r="H35" s="5"/>
      <c r="I35" s="5" t="s">
        <v>105</v>
      </c>
      <c r="J35" s="5"/>
      <c r="K35" s="5"/>
      <c r="L35" s="5" t="s">
        <v>43</v>
      </c>
    </row>
    <row r="36" spans="1:12">
      <c r="A36" s="5"/>
      <c r="B36" s="5"/>
      <c r="C36" s="5"/>
      <c r="D36" s="5"/>
      <c r="E36" s="5"/>
      <c r="F36" s="5"/>
      <c r="G36" s="5"/>
      <c r="H36" s="5"/>
      <c r="I36" s="5" t="s">
        <v>105</v>
      </c>
      <c r="J36" s="5"/>
      <c r="K36" s="5"/>
      <c r="L36" s="5" t="s">
        <v>43</v>
      </c>
    </row>
    <row r="37" spans="1:12">
      <c r="A37" s="5"/>
      <c r="B37" s="5"/>
      <c r="C37" s="5"/>
      <c r="D37" s="5"/>
      <c r="E37" s="5"/>
      <c r="F37" s="5"/>
      <c r="G37" s="5"/>
      <c r="H37" s="5"/>
      <c r="I37" s="5" t="s">
        <v>105</v>
      </c>
      <c r="J37" s="5"/>
      <c r="K37" s="5"/>
      <c r="L37" s="5" t="s">
        <v>43</v>
      </c>
    </row>
    <row r="38" spans="1:12">
      <c r="A38" s="5"/>
      <c r="B38" s="5"/>
      <c r="C38" s="5"/>
      <c r="D38" s="5"/>
      <c r="E38" s="5"/>
      <c r="F38" s="5"/>
      <c r="G38" s="5"/>
      <c r="H38" s="5"/>
      <c r="I38" s="5" t="s">
        <v>105</v>
      </c>
      <c r="J38" s="5"/>
      <c r="K38" s="5"/>
      <c r="L38" s="5" t="s">
        <v>43</v>
      </c>
    </row>
    <row r="39" spans="1:12">
      <c r="A39" s="5"/>
      <c r="B39" s="5"/>
      <c r="C39" s="5"/>
      <c r="D39" s="5"/>
      <c r="E39" s="5"/>
      <c r="F39" s="5"/>
      <c r="G39" s="5"/>
      <c r="H39" s="5"/>
      <c r="I39" s="5" t="s">
        <v>105</v>
      </c>
      <c r="J39" s="5"/>
      <c r="K39" s="5"/>
      <c r="L39" s="5" t="s">
        <v>43</v>
      </c>
    </row>
    <row r="40" spans="1:12">
      <c r="A40" s="5"/>
      <c r="B40" s="5"/>
      <c r="C40" s="5"/>
      <c r="D40" s="5"/>
      <c r="E40" s="5"/>
      <c r="F40" s="5"/>
      <c r="G40" s="5"/>
      <c r="H40" s="5"/>
      <c r="I40" s="5" t="s">
        <v>105</v>
      </c>
      <c r="J40" s="5"/>
      <c r="K40" s="5"/>
      <c r="L40" s="5" t="s">
        <v>43</v>
      </c>
    </row>
    <row r="41" spans="1:12">
      <c r="A41" s="5"/>
      <c r="B41" s="5"/>
      <c r="C41" s="5"/>
      <c r="D41" s="5"/>
      <c r="E41" s="5"/>
      <c r="F41" s="5"/>
      <c r="G41" s="5"/>
      <c r="H41" s="5"/>
      <c r="I41" s="5" t="s">
        <v>105</v>
      </c>
      <c r="J41" s="5"/>
      <c r="K41" s="5"/>
      <c r="L41" s="5" t="s">
        <v>43</v>
      </c>
    </row>
    <row r="42" spans="1:12">
      <c r="A42" s="5"/>
      <c r="B42" s="5"/>
      <c r="C42" s="5"/>
      <c r="D42" s="5"/>
      <c r="E42" s="5"/>
      <c r="F42" s="5"/>
      <c r="G42" s="5"/>
      <c r="H42" s="5"/>
      <c r="I42" s="5" t="s">
        <v>105</v>
      </c>
      <c r="J42" s="5"/>
      <c r="K42" s="5"/>
      <c r="L42" s="5" t="s">
        <v>43</v>
      </c>
    </row>
    <row r="43" spans="1:12">
      <c r="A43" s="5"/>
      <c r="B43" s="5"/>
      <c r="C43" s="5"/>
      <c r="D43" s="5"/>
      <c r="E43" s="5"/>
      <c r="F43" s="5"/>
      <c r="G43" s="5"/>
      <c r="H43" s="5"/>
      <c r="I43" s="5" t="s">
        <v>105</v>
      </c>
      <c r="J43" s="5"/>
      <c r="K43" s="5"/>
      <c r="L43" s="5" t="s">
        <v>43</v>
      </c>
    </row>
  </sheetData>
  <mergeCells count="1">
    <mergeCell ref="A1:L1"/>
  </mergeCells>
  <conditionalFormatting sqref="L4:L43">
    <cfRule type="expression" dxfId="2" priority="1">
      <formula>L4="Completed"</formula>
    </cfRule>
  </conditionalFormatting>
  <dataValidations count="2">
    <dataValidation type="list" sqref="I4:I43" xr:uid="{00000000-0002-0000-0300-000000000000}">
      <formula1>"Yes,No"</formula1>
    </dataValidation>
    <dataValidation type="list" sqref="L4:L43" xr:uid="{00000000-0002-0000-0300-000001000000}">
      <formula1>"Not Started,In Progress,Completed,Blocked"</formula1>
    </dataValidation>
  </dataValidations>
  <hyperlinks>
    <hyperlink ref="H9" r:id="rId1" location="Uhttps%3A%2F%2Fdrive.google.com%2Fuc%3Fid%3D1eXohZenwZEWp6WhPrafkVnP-c2IGm0fk%26export%3Ddownload#%7B%22pageId%22%3A%22l3LJjRWJDzVEaLW4UUNY%22%7D" xr:uid="{B5CA926F-E857-47A9-871C-FC293A7D2038}"/>
    <hyperlink ref="H5" r:id="rId2" location="Uhttps%3A%2F%2Fdrive.google.com%2Fuc%3Fid%3D1rESYHt5o1iQarVEFVaAx0mJylvMq4XkD%26export%3Ddownload" xr:uid="{E7DC9E2A-B1B2-4857-A0D4-98129109304F}"/>
    <hyperlink ref="H6" r:id="rId3" location="G1WnnMAADEEE-IsjPr1TTquf-2JKCgalI1#%7B%22pageId%22%3A%220YesyBUdXUmlOLOw5Ugs%22%7D" xr:uid="{E019AB39-1D4E-467F-8F27-98AF09926AC2}"/>
    <hyperlink ref="H7" r:id="rId4" location="G1WnnMAADEEE-IsjPr1TTquf-2JKCgalI1#%7B%22pageId%22%3A%220YesyBUdXUmlOLOw5Ugs%22%7D" xr:uid="{69B67A7E-F5DF-4731-9108-D2B26EA17B5F}"/>
    <hyperlink ref="H8" r:id="rId5" location="Uhttps%3A%2F%2Fdrive.google.com%2Fuc%3Fid%3D1Lxjyn7C33eKcqnTFqsEF9ZGF_tcGvsgr%26export%3Ddownload" xr:uid="{DBC01AE3-04B8-416B-9595-44BE25A3933E}"/>
    <hyperlink ref="H10" r:id="rId6" xr:uid="{7487445C-39DC-478E-A0C1-51E26435126C}"/>
    <hyperlink ref="H11" r:id="rId7" xr:uid="{6CCC7B2B-D020-47F7-8043-90FE30930310}"/>
    <hyperlink ref="H12" r:id="rId8" xr:uid="{69D4528E-61E1-4387-8E6E-26DBAC7C450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selection activeCell="C5" sqref="C5"/>
    </sheetView>
  </sheetViews>
  <sheetFormatPr defaultRowHeight="14.25"/>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spans="1:8" ht="33.950000000000003" customHeight="1">
      <c r="A1" s="13" t="s">
        <v>106</v>
      </c>
      <c r="B1" s="13"/>
      <c r="C1" s="13"/>
      <c r="D1" s="13"/>
      <c r="E1" s="13"/>
      <c r="F1" s="13"/>
      <c r="G1" s="13"/>
      <c r="H1" s="13"/>
    </row>
    <row r="3" spans="1:8" ht="30" customHeight="1">
      <c r="A3" s="1" t="s">
        <v>107</v>
      </c>
      <c r="B3" s="1" t="s">
        <v>108</v>
      </c>
      <c r="C3" s="1" t="s">
        <v>109</v>
      </c>
      <c r="D3" s="1" t="s">
        <v>110</v>
      </c>
      <c r="E3" s="1" t="s">
        <v>111</v>
      </c>
      <c r="F3" s="1" t="s">
        <v>112</v>
      </c>
      <c r="G3" s="1" t="s">
        <v>113</v>
      </c>
      <c r="H3" s="1" t="s">
        <v>114</v>
      </c>
    </row>
    <row r="4" spans="1:8" ht="85.5">
      <c r="A4" t="s">
        <v>58</v>
      </c>
      <c r="B4" s="5" t="s">
        <v>208</v>
      </c>
      <c r="C4" s="11" t="s">
        <v>171</v>
      </c>
      <c r="D4" s="5" t="s">
        <v>168</v>
      </c>
      <c r="E4" s="10">
        <v>46283</v>
      </c>
      <c r="F4" s="5" t="s">
        <v>163</v>
      </c>
      <c r="G4" s="5" t="s">
        <v>168</v>
      </c>
      <c r="H4" s="5"/>
    </row>
    <row r="5" spans="1:8" ht="57">
      <c r="A5" t="s">
        <v>61</v>
      </c>
      <c r="B5" s="5" t="s">
        <v>208</v>
      </c>
      <c r="C5" s="11" t="s">
        <v>226</v>
      </c>
      <c r="D5" s="5" t="s">
        <v>168</v>
      </c>
      <c r="E5" s="10">
        <v>46283</v>
      </c>
      <c r="F5" s="5" t="s">
        <v>155</v>
      </c>
      <c r="G5" s="5" t="s">
        <v>168</v>
      </c>
      <c r="H5" s="5"/>
    </row>
    <row r="6" spans="1:8" ht="85.5">
      <c r="A6" t="s">
        <v>64</v>
      </c>
      <c r="B6" s="5" t="s">
        <v>208</v>
      </c>
      <c r="C6" s="11" t="s">
        <v>228</v>
      </c>
      <c r="D6" s="5" t="s">
        <v>168</v>
      </c>
      <c r="E6" s="10">
        <v>46286</v>
      </c>
      <c r="F6" s="5" t="s">
        <v>156</v>
      </c>
      <c r="G6" s="5" t="s">
        <v>168</v>
      </c>
      <c r="H6" s="5"/>
    </row>
    <row r="7" spans="1:8" ht="85.5">
      <c r="A7" t="s">
        <v>67</v>
      </c>
      <c r="B7" s="5" t="s">
        <v>208</v>
      </c>
      <c r="C7" s="11" t="s">
        <v>229</v>
      </c>
      <c r="D7" s="5" t="s">
        <v>168</v>
      </c>
      <c r="E7" s="10">
        <v>46286</v>
      </c>
      <c r="F7" s="5" t="s">
        <v>157</v>
      </c>
      <c r="G7" s="5" t="s">
        <v>168</v>
      </c>
      <c r="H7" s="5"/>
    </row>
    <row r="8" spans="1:8" ht="57">
      <c r="A8" t="s">
        <v>70</v>
      </c>
      <c r="B8" s="5" t="s">
        <v>199</v>
      </c>
      <c r="C8" s="11" t="s">
        <v>224</v>
      </c>
      <c r="D8" s="5" t="s">
        <v>168</v>
      </c>
      <c r="E8" s="10">
        <v>46288</v>
      </c>
      <c r="F8" s="5" t="s">
        <v>193</v>
      </c>
      <c r="G8" s="5" t="s">
        <v>168</v>
      </c>
      <c r="H8" s="5"/>
    </row>
    <row r="9" spans="1:8" ht="42.75">
      <c r="A9" t="s">
        <v>73</v>
      </c>
      <c r="B9" s="5" t="s">
        <v>198</v>
      </c>
      <c r="C9" s="11" t="s">
        <v>223</v>
      </c>
      <c r="D9" s="5" t="s">
        <v>168</v>
      </c>
      <c r="E9" s="10">
        <v>46287</v>
      </c>
      <c r="F9" s="5" t="s">
        <v>159</v>
      </c>
      <c r="G9" s="5" t="s">
        <v>168</v>
      </c>
      <c r="H9" s="5"/>
    </row>
    <row r="10" spans="1:8" ht="42.75">
      <c r="A10" t="s">
        <v>76</v>
      </c>
      <c r="B10" s="5" t="s">
        <v>198</v>
      </c>
      <c r="C10" s="11" t="s">
        <v>223</v>
      </c>
      <c r="D10" s="5" t="s">
        <v>168</v>
      </c>
      <c r="E10" s="10">
        <v>46287</v>
      </c>
      <c r="F10" s="5" t="s">
        <v>159</v>
      </c>
      <c r="G10" s="5" t="s">
        <v>168</v>
      </c>
      <c r="H10" s="5"/>
    </row>
    <row r="11" spans="1:8" ht="42.75">
      <c r="A11" t="s">
        <v>115</v>
      </c>
      <c r="B11" s="5" t="s">
        <v>198</v>
      </c>
      <c r="C11" s="11" t="s">
        <v>223</v>
      </c>
      <c r="D11" s="5" t="s">
        <v>168</v>
      </c>
      <c r="E11" s="10">
        <v>46287</v>
      </c>
      <c r="F11" s="5" t="s">
        <v>159</v>
      </c>
      <c r="G11" s="5" t="s">
        <v>168</v>
      </c>
      <c r="H11" s="5"/>
    </row>
  </sheetData>
  <mergeCells count="1">
    <mergeCell ref="A1:H1"/>
  </mergeCells>
  <dataValidations count="1">
    <dataValidation type="list" sqref="D4:D11 G4:G11" xr:uid="{00000000-0002-0000-0400-000000000000}">
      <formula1>"Yes,No"</formula1>
    </dataValidation>
  </dataValidations>
  <hyperlinks>
    <hyperlink ref="C4" r:id="rId1" location="Uhttps%3A%2F%2Fdrive.google.com%2Fuc%3Fid%3D1rESYHt5o1iQarVEFVaAx0mJylvMq4XkD%26export%3Ddownload" xr:uid="{BC28DF17-63E6-47BC-BA78-B6935EDD0CDA}"/>
    <hyperlink ref="C5" r:id="rId2" location="G1WnnMAADEEE-IsjPr1TTquf-2JKCgalI1#%7B%22pageId%22%3A%220YesyBUdXUmlOLOw5Ugs%22%7D" xr:uid="{9F01BBAD-8F77-45FC-9D84-2003B71C6FD4}"/>
    <hyperlink ref="C6" r:id="rId3" location="Uhttps%3A%2F%2Fdrive.google.com%2Fuc%3Fid%3D1Lxjyn7C33eKcqnTFqsEF9ZGF_tcGvsgr%26export%3Ddownload" xr:uid="{2AF1EAE9-F8D1-49EF-AF7D-566C521146B1}"/>
    <hyperlink ref="C7" r:id="rId4" location="Uhttps%3A%2F%2Fdrive.google.com%2Fuc%3Fid%3D1eXohZenwZEWp6WhPrafkVnP-c2IGm0fk%26export%3Ddownload#%7B%22pageId%22%3A%22l3LJjRWJDzVEaLW4UUNY%22%7D" xr:uid="{AE6E4056-F5FA-416E-B7C3-AA75D0E1F713}"/>
    <hyperlink ref="C8" r:id="rId5" xr:uid="{DBB043FB-01CA-4628-BB08-82C86E442EF8}"/>
    <hyperlink ref="C9" r:id="rId6" xr:uid="{82B08C55-5769-410C-8DEB-7239FC87F6D9}"/>
    <hyperlink ref="C10" r:id="rId7" xr:uid="{1556F12A-BF1A-4FAC-98A4-EE50F9FF4D7D}"/>
    <hyperlink ref="C11" r:id="rId8" xr:uid="{49C44A4D-C997-4F89-A7C8-D236FCEC3BF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topLeftCell="B1" workbookViewId="0">
      <selection activeCell="I12" sqref="I12"/>
    </sheetView>
  </sheetViews>
  <sheetFormatPr defaultRowHeight="14.25"/>
  <cols>
    <col min="1" max="1" width="15" customWidth="1"/>
    <col min="2" max="2" width="32" customWidth="1"/>
    <col min="3" max="3" width="34" customWidth="1"/>
    <col min="4" max="4" width="38" customWidth="1"/>
    <col min="5" max="5" width="24" customWidth="1"/>
    <col min="6" max="8" width="15" customWidth="1"/>
    <col min="9" max="9" width="32" customWidth="1"/>
  </cols>
  <sheetData>
    <row r="1" spans="1:9" ht="33.950000000000003" customHeight="1">
      <c r="A1" s="13" t="s">
        <v>116</v>
      </c>
      <c r="B1" s="13"/>
      <c r="C1" s="13"/>
      <c r="D1" s="13"/>
      <c r="E1" s="13"/>
      <c r="F1" s="13"/>
      <c r="G1" s="13"/>
      <c r="H1" s="13"/>
      <c r="I1" s="13"/>
    </row>
    <row r="3" spans="1:9" ht="30" customHeight="1">
      <c r="A3" s="1" t="s">
        <v>117</v>
      </c>
      <c r="B3" s="1" t="s">
        <v>118</v>
      </c>
      <c r="C3" s="1" t="s">
        <v>119</v>
      </c>
      <c r="D3" s="1" t="s">
        <v>120</v>
      </c>
      <c r="E3" s="1" t="s">
        <v>112</v>
      </c>
      <c r="F3" s="1" t="s">
        <v>121</v>
      </c>
      <c r="G3" s="1" t="s">
        <v>53</v>
      </c>
      <c r="H3" s="1" t="s">
        <v>122</v>
      </c>
      <c r="I3" s="1" t="s">
        <v>114</v>
      </c>
    </row>
    <row r="4" spans="1:9" ht="71.25">
      <c r="A4" s="10">
        <v>46279</v>
      </c>
      <c r="B4" s="5" t="s">
        <v>200</v>
      </c>
      <c r="C4" s="5" t="s">
        <v>201</v>
      </c>
      <c r="D4" s="5" t="s">
        <v>202</v>
      </c>
      <c r="E4" s="5" t="s">
        <v>162</v>
      </c>
      <c r="F4" s="10">
        <v>46280</v>
      </c>
      <c r="G4" s="5" t="s">
        <v>34</v>
      </c>
      <c r="H4" s="10">
        <v>46280</v>
      </c>
      <c r="I4" s="5"/>
    </row>
    <row r="5" spans="1:9" ht="85.5">
      <c r="A5" s="10">
        <v>46272</v>
      </c>
      <c r="B5" s="5" t="s">
        <v>203</v>
      </c>
      <c r="C5" s="5" t="s">
        <v>204</v>
      </c>
      <c r="D5" s="5" t="s">
        <v>205</v>
      </c>
      <c r="E5" s="5" t="s">
        <v>159</v>
      </c>
      <c r="F5" s="10">
        <v>46274</v>
      </c>
      <c r="G5" s="5" t="s">
        <v>34</v>
      </c>
      <c r="H5" s="10">
        <v>46274</v>
      </c>
      <c r="I5" s="5"/>
    </row>
    <row r="6" spans="1:9">
      <c r="A6" s="5"/>
      <c r="B6" s="5"/>
      <c r="C6" s="5"/>
      <c r="D6" s="5"/>
      <c r="E6" s="5"/>
      <c r="F6" s="5"/>
      <c r="G6" s="5" t="s">
        <v>43</v>
      </c>
      <c r="H6" s="5"/>
      <c r="I6" s="5"/>
    </row>
    <row r="7" spans="1:9">
      <c r="A7" s="5"/>
      <c r="B7" s="5"/>
      <c r="C7" s="5"/>
      <c r="D7" s="5"/>
      <c r="E7" s="5"/>
      <c r="F7" s="5"/>
      <c r="G7" s="5" t="s">
        <v>43</v>
      </c>
      <c r="H7" s="5"/>
      <c r="I7" s="5"/>
    </row>
    <row r="8" spans="1:9">
      <c r="A8" s="5"/>
      <c r="B8" s="5"/>
      <c r="C8" s="5"/>
      <c r="D8" s="5"/>
      <c r="E8" s="5"/>
      <c r="F8" s="5"/>
      <c r="G8" s="5" t="s">
        <v>43</v>
      </c>
      <c r="H8" s="5"/>
      <c r="I8" s="5"/>
    </row>
    <row r="9" spans="1:9">
      <c r="A9" s="5"/>
      <c r="B9" s="5"/>
      <c r="C9" s="5"/>
      <c r="D9" s="5"/>
      <c r="E9" s="5"/>
      <c r="F9" s="5"/>
      <c r="G9" s="5" t="s">
        <v>43</v>
      </c>
      <c r="H9" s="5"/>
      <c r="I9" s="5"/>
    </row>
    <row r="10" spans="1:9">
      <c r="A10" s="5"/>
      <c r="B10" s="5"/>
      <c r="C10" s="5"/>
      <c r="D10" s="5"/>
      <c r="E10" s="5"/>
      <c r="F10" s="5"/>
      <c r="G10" s="5" t="s">
        <v>43</v>
      </c>
      <c r="H10" s="5"/>
      <c r="I10" s="5"/>
    </row>
    <row r="11" spans="1:9">
      <c r="A11" s="5"/>
      <c r="B11" s="5"/>
      <c r="C11" s="5"/>
      <c r="D11" s="5"/>
      <c r="E11" s="5"/>
      <c r="F11" s="5"/>
      <c r="G11" s="5" t="s">
        <v>43</v>
      </c>
      <c r="H11" s="5"/>
      <c r="I11" s="5"/>
    </row>
    <row r="12" spans="1:9">
      <c r="A12" s="5"/>
      <c r="B12" s="5"/>
      <c r="C12" s="5"/>
      <c r="D12" s="5"/>
      <c r="E12" s="5"/>
      <c r="F12" s="5"/>
      <c r="G12" s="5" t="s">
        <v>43</v>
      </c>
      <c r="H12" s="5"/>
      <c r="I12" s="5"/>
    </row>
    <row r="13" spans="1:9">
      <c r="A13" s="5"/>
      <c r="B13" s="5"/>
      <c r="C13" s="5"/>
      <c r="D13" s="5"/>
      <c r="E13" s="5"/>
      <c r="F13" s="5"/>
      <c r="G13" s="5" t="s">
        <v>43</v>
      </c>
      <c r="H13" s="5"/>
      <c r="I13" s="5"/>
    </row>
    <row r="14" spans="1:9">
      <c r="A14" s="5"/>
      <c r="B14" s="5"/>
      <c r="C14" s="5"/>
      <c r="D14" s="5"/>
      <c r="E14" s="5"/>
      <c r="F14" s="5"/>
      <c r="G14" s="5" t="s">
        <v>43</v>
      </c>
      <c r="H14" s="5"/>
      <c r="I14" s="5"/>
    </row>
    <row r="15" spans="1:9">
      <c r="A15" s="5"/>
      <c r="B15" s="5"/>
      <c r="C15" s="5"/>
      <c r="D15" s="5"/>
      <c r="E15" s="5"/>
      <c r="F15" s="5"/>
      <c r="G15" s="5" t="s">
        <v>43</v>
      </c>
      <c r="H15" s="5"/>
      <c r="I15" s="5"/>
    </row>
    <row r="16" spans="1:9">
      <c r="A16" s="5"/>
      <c r="B16" s="5"/>
      <c r="C16" s="5"/>
      <c r="D16" s="5"/>
      <c r="E16" s="5"/>
      <c r="F16" s="5"/>
      <c r="G16" s="5" t="s">
        <v>43</v>
      </c>
      <c r="H16" s="5"/>
      <c r="I16" s="5"/>
    </row>
    <row r="17" spans="1:9">
      <c r="A17" s="5"/>
      <c r="B17" s="5"/>
      <c r="C17" s="5"/>
      <c r="D17" s="5"/>
      <c r="E17" s="5"/>
      <c r="F17" s="5"/>
      <c r="G17" s="5" t="s">
        <v>43</v>
      </c>
      <c r="H17" s="5"/>
      <c r="I17" s="5"/>
    </row>
    <row r="18" spans="1:9">
      <c r="A18" s="5"/>
      <c r="B18" s="5"/>
      <c r="C18" s="5"/>
      <c r="D18" s="5"/>
      <c r="E18" s="5"/>
      <c r="F18" s="5"/>
      <c r="G18" s="5" t="s">
        <v>43</v>
      </c>
      <c r="H18" s="5"/>
      <c r="I18" s="5"/>
    </row>
    <row r="19" spans="1:9">
      <c r="A19" s="5"/>
      <c r="B19" s="5"/>
      <c r="C19" s="5"/>
      <c r="D19" s="5"/>
      <c r="E19" s="5"/>
      <c r="F19" s="5"/>
      <c r="G19" s="5" t="s">
        <v>43</v>
      </c>
      <c r="H19" s="5"/>
      <c r="I19" s="5"/>
    </row>
    <row r="20" spans="1:9">
      <c r="A20" s="5"/>
      <c r="B20" s="5"/>
      <c r="C20" s="5"/>
      <c r="D20" s="5"/>
      <c r="E20" s="5"/>
      <c r="F20" s="5"/>
      <c r="G20" s="5" t="s">
        <v>43</v>
      </c>
      <c r="H20" s="5"/>
      <c r="I20" s="5"/>
    </row>
    <row r="21" spans="1:9">
      <c r="A21" s="5"/>
      <c r="B21" s="5"/>
      <c r="C21" s="5"/>
      <c r="D21" s="5"/>
      <c r="E21" s="5"/>
      <c r="F21" s="5"/>
      <c r="G21" s="5" t="s">
        <v>43</v>
      </c>
      <c r="H21" s="5"/>
      <c r="I21" s="5"/>
    </row>
    <row r="22" spans="1:9">
      <c r="A22" s="5"/>
      <c r="B22" s="5"/>
      <c r="C22" s="5"/>
      <c r="D22" s="5"/>
      <c r="E22" s="5"/>
      <c r="F22" s="5"/>
      <c r="G22" s="5" t="s">
        <v>43</v>
      </c>
      <c r="H22" s="5"/>
      <c r="I22" s="5"/>
    </row>
    <row r="23" spans="1:9">
      <c r="A23" s="5"/>
      <c r="B23" s="5"/>
      <c r="C23" s="5"/>
      <c r="D23" s="5"/>
      <c r="E23" s="5"/>
      <c r="F23" s="5"/>
      <c r="G23" s="5" t="s">
        <v>43</v>
      </c>
      <c r="H23" s="5"/>
      <c r="I23" s="5"/>
    </row>
    <row r="24" spans="1:9">
      <c r="A24" s="5"/>
      <c r="B24" s="5"/>
      <c r="C24" s="5"/>
      <c r="D24" s="5"/>
      <c r="E24" s="5"/>
      <c r="F24" s="5"/>
      <c r="G24" s="5" t="s">
        <v>43</v>
      </c>
      <c r="H24" s="5"/>
      <c r="I24" s="5"/>
    </row>
    <row r="25" spans="1:9">
      <c r="A25" s="5"/>
      <c r="B25" s="5"/>
      <c r="C25" s="5"/>
      <c r="D25" s="5"/>
      <c r="E25" s="5"/>
      <c r="F25" s="5"/>
      <c r="G25" s="5" t="s">
        <v>43</v>
      </c>
      <c r="H25" s="5"/>
      <c r="I25" s="5"/>
    </row>
    <row r="26" spans="1:9">
      <c r="A26" s="5"/>
      <c r="B26" s="5"/>
      <c r="C26" s="5"/>
      <c r="D26" s="5"/>
      <c r="E26" s="5"/>
      <c r="F26" s="5"/>
      <c r="G26" s="5" t="s">
        <v>43</v>
      </c>
      <c r="H26" s="5"/>
      <c r="I26" s="5"/>
    </row>
    <row r="27" spans="1:9">
      <c r="A27" s="5"/>
      <c r="B27" s="5"/>
      <c r="C27" s="5"/>
      <c r="D27" s="5"/>
      <c r="E27" s="5"/>
      <c r="F27" s="5"/>
      <c r="G27" s="5" t="s">
        <v>43</v>
      </c>
      <c r="H27" s="5"/>
      <c r="I27" s="5"/>
    </row>
    <row r="28" spans="1:9">
      <c r="A28" s="5"/>
      <c r="B28" s="5"/>
      <c r="C28" s="5"/>
      <c r="D28" s="5"/>
      <c r="E28" s="5"/>
      <c r="F28" s="5"/>
      <c r="G28" s="5" t="s">
        <v>43</v>
      </c>
      <c r="H28" s="5"/>
      <c r="I28" s="5"/>
    </row>
    <row r="29" spans="1:9">
      <c r="A29" s="5"/>
      <c r="B29" s="5"/>
      <c r="C29" s="5"/>
      <c r="D29" s="5"/>
      <c r="E29" s="5"/>
      <c r="F29" s="5"/>
      <c r="G29" s="5" t="s">
        <v>43</v>
      </c>
      <c r="H29" s="5"/>
      <c r="I29" s="5"/>
    </row>
    <row r="30" spans="1:9">
      <c r="A30" s="5"/>
      <c r="B30" s="5"/>
      <c r="C30" s="5"/>
      <c r="D30" s="5"/>
      <c r="E30" s="5"/>
      <c r="F30" s="5"/>
      <c r="G30" s="5" t="s">
        <v>43</v>
      </c>
      <c r="H30" s="5"/>
      <c r="I30" s="5"/>
    </row>
    <row r="31" spans="1:9">
      <c r="A31" s="5"/>
      <c r="B31" s="5"/>
      <c r="C31" s="5"/>
      <c r="D31" s="5"/>
      <c r="E31" s="5"/>
      <c r="F31" s="5"/>
      <c r="G31" s="5" t="s">
        <v>43</v>
      </c>
      <c r="H31" s="5"/>
      <c r="I31" s="5"/>
    </row>
    <row r="32" spans="1:9">
      <c r="A32" s="5"/>
      <c r="B32" s="5"/>
      <c r="C32" s="5"/>
      <c r="D32" s="5"/>
      <c r="E32" s="5"/>
      <c r="F32" s="5"/>
      <c r="G32" s="5" t="s">
        <v>43</v>
      </c>
      <c r="H32" s="5"/>
      <c r="I32" s="5"/>
    </row>
    <row r="33" spans="1:9">
      <c r="A33" s="5"/>
      <c r="B33" s="5"/>
      <c r="C33" s="5"/>
      <c r="D33" s="5"/>
      <c r="E33" s="5"/>
      <c r="F33" s="5"/>
      <c r="G33" s="5" t="s">
        <v>43</v>
      </c>
      <c r="H33" s="5"/>
      <c r="I33" s="5"/>
    </row>
  </sheetData>
  <mergeCells count="1">
    <mergeCell ref="A1:I1"/>
  </mergeCells>
  <conditionalFormatting sqref="G4:G33">
    <cfRule type="expression" dxfId="1" priority="1">
      <formula>G4="Completed"</formula>
    </cfRule>
    <cfRule type="expression" dxfId="0" priority="2">
      <formula>G4="Blocked"</formula>
    </cfRule>
  </conditionalFormatting>
  <dataValidations count="1">
    <dataValidation type="list" sqref="G4:G33" xr:uid="{00000000-0002-0000-0500-000000000000}">
      <formula1>"Not Started,In Progress,Completed,Blocked"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selection activeCell="B14" sqref="B14"/>
    </sheetView>
  </sheetViews>
  <sheetFormatPr defaultRowHeight="14.25"/>
  <cols>
    <col min="1" max="1" width="34.25" bestFit="1" customWidth="1"/>
    <col min="2" max="3" width="34" customWidth="1"/>
    <col min="4" max="4" width="4" customWidth="1"/>
    <col min="5" max="5" width="24" bestFit="1" customWidth="1"/>
    <col min="6" max="6" width="15.25" customWidth="1"/>
  </cols>
  <sheetData>
    <row r="1" spans="1:6" ht="33.950000000000003" customHeight="1">
      <c r="A1" s="13" t="s">
        <v>30</v>
      </c>
      <c r="B1" s="13"/>
      <c r="C1" s="13"/>
      <c r="D1" s="13"/>
      <c r="E1" s="13"/>
      <c r="F1" s="13"/>
    </row>
    <row r="3" spans="1:6" ht="30" customHeight="1">
      <c r="A3" s="4" t="s">
        <v>41</v>
      </c>
      <c r="B3" s="18" t="s">
        <v>221</v>
      </c>
      <c r="C3" s="18"/>
      <c r="E3" s="1" t="s">
        <v>123</v>
      </c>
      <c r="F3" s="1" t="s">
        <v>124</v>
      </c>
    </row>
    <row r="4" spans="1:6" ht="15">
      <c r="A4" s="4" t="s">
        <v>42</v>
      </c>
      <c r="B4" s="18" t="s">
        <v>34</v>
      </c>
      <c r="C4" s="18"/>
      <c r="E4" t="s">
        <v>125</v>
      </c>
      <c r="F4" s="5" t="s">
        <v>168</v>
      </c>
    </row>
    <row r="5" spans="1:6" ht="52.15" customHeight="1">
      <c r="A5" s="4" t="s">
        <v>126</v>
      </c>
      <c r="B5" s="19" t="s">
        <v>218</v>
      </c>
      <c r="C5" s="19"/>
      <c r="E5" t="s">
        <v>127</v>
      </c>
      <c r="F5" s="5" t="s">
        <v>168</v>
      </c>
    </row>
    <row r="6" spans="1:6" ht="40.15" customHeight="1">
      <c r="A6" s="4" t="s">
        <v>128</v>
      </c>
      <c r="B6" s="18" t="s">
        <v>215</v>
      </c>
      <c r="C6" s="18"/>
      <c r="E6" t="s">
        <v>129</v>
      </c>
      <c r="F6" s="5" t="s">
        <v>168</v>
      </c>
    </row>
    <row r="7" spans="1:6" ht="15">
      <c r="A7" s="4" t="s">
        <v>130</v>
      </c>
      <c r="B7" s="18" t="s">
        <v>219</v>
      </c>
      <c r="C7" s="18"/>
      <c r="E7" t="s">
        <v>131</v>
      </c>
      <c r="F7" s="5" t="s">
        <v>168</v>
      </c>
    </row>
    <row r="8" spans="1:6" ht="30">
      <c r="A8" s="4" t="s">
        <v>132</v>
      </c>
      <c r="B8" s="18" t="s">
        <v>209</v>
      </c>
      <c r="C8" s="18"/>
      <c r="E8" t="s">
        <v>133</v>
      </c>
      <c r="F8" s="5" t="s">
        <v>168</v>
      </c>
    </row>
    <row r="9" spans="1:6" ht="15">
      <c r="A9" s="4" t="s">
        <v>134</v>
      </c>
      <c r="B9" s="18" t="s">
        <v>168</v>
      </c>
      <c r="C9" s="18"/>
      <c r="E9" t="s">
        <v>135</v>
      </c>
      <c r="F9" s="5" t="s">
        <v>168</v>
      </c>
    </row>
    <row r="10" spans="1:6" ht="30">
      <c r="A10" s="4" t="s">
        <v>136</v>
      </c>
      <c r="B10" s="18" t="s">
        <v>207</v>
      </c>
      <c r="C10" s="18"/>
      <c r="E10" t="s">
        <v>137</v>
      </c>
      <c r="F10" s="5" t="s">
        <v>168</v>
      </c>
    </row>
    <row r="11" spans="1:6" ht="30.6" customHeight="1">
      <c r="A11" s="4" t="s">
        <v>138</v>
      </c>
      <c r="B11" s="18" t="s">
        <v>206</v>
      </c>
      <c r="C11" s="18"/>
      <c r="E11" t="s">
        <v>139</v>
      </c>
      <c r="F11" s="5" t="s">
        <v>168</v>
      </c>
    </row>
    <row r="12" spans="1:6">
      <c r="E12" t="s">
        <v>140</v>
      </c>
      <c r="F12" s="5" t="s">
        <v>168</v>
      </c>
    </row>
    <row r="13" spans="1:6">
      <c r="E13" t="s">
        <v>141</v>
      </c>
      <c r="F13" s="5" t="s">
        <v>168</v>
      </c>
    </row>
    <row r="14" spans="1:6">
      <c r="E14" t="s">
        <v>142</v>
      </c>
      <c r="F14" s="5" t="s">
        <v>168</v>
      </c>
    </row>
    <row r="15" spans="1:6">
      <c r="E15" t="s">
        <v>143</v>
      </c>
      <c r="F15" s="5" t="s">
        <v>168</v>
      </c>
    </row>
    <row r="16" spans="1:6">
      <c r="E16" t="s">
        <v>144</v>
      </c>
      <c r="F16" s="5" t="s">
        <v>168</v>
      </c>
    </row>
  </sheetData>
  <mergeCells count="10">
    <mergeCell ref="B7:C7"/>
    <mergeCell ref="B8:C8"/>
    <mergeCell ref="B9:C9"/>
    <mergeCell ref="B10:C10"/>
    <mergeCell ref="B11:C11"/>
    <mergeCell ref="A1:F1"/>
    <mergeCell ref="B3:C3"/>
    <mergeCell ref="B4:C4"/>
    <mergeCell ref="B5:C5"/>
    <mergeCell ref="B6:C6"/>
  </mergeCells>
  <dataValidations count="2">
    <dataValidation type="list" sqref="B4" xr:uid="{00000000-0002-0000-0600-000000000000}">
      <formula1>"Not Started,In Progress,Completed,Blocked"</formula1>
    </dataValidation>
    <dataValidation type="list" sqref="F4:F16" xr:uid="{00000000-0002-0000-0600-000001000000}">
      <formula1>"Yes,No"</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topLeftCell="A13" workbookViewId="0">
      <selection activeCell="A8" sqref="A8:F9"/>
    </sheetView>
  </sheetViews>
  <sheetFormatPr defaultRowHeight="14.25"/>
  <cols>
    <col min="1" max="6" width="24" customWidth="1"/>
  </cols>
  <sheetData>
    <row r="1" spans="1:6" ht="33.950000000000003" customHeight="1">
      <c r="A1" s="13" t="s">
        <v>145</v>
      </c>
      <c r="B1" s="13"/>
      <c r="C1" s="13"/>
      <c r="D1" s="13"/>
      <c r="E1" s="13"/>
      <c r="F1" s="13"/>
    </row>
    <row r="3" spans="1:6" ht="27.95" customHeight="1">
      <c r="A3" s="20" t="s">
        <v>146</v>
      </c>
      <c r="B3" s="20"/>
      <c r="C3" s="20"/>
      <c r="D3" s="20"/>
      <c r="E3" s="20"/>
      <c r="F3" s="20"/>
    </row>
    <row r="4" spans="1:6" ht="38.1" customHeight="1">
      <c r="A4" s="21" t="s">
        <v>210</v>
      </c>
      <c r="B4" s="21"/>
      <c r="C4" s="21"/>
      <c r="D4" s="21"/>
      <c r="E4" s="21"/>
      <c r="F4" s="21"/>
    </row>
    <row r="5" spans="1:6" ht="38.1" customHeight="1">
      <c r="A5" s="21"/>
      <c r="B5" s="21"/>
      <c r="C5" s="21"/>
      <c r="D5" s="21"/>
      <c r="E5" s="21"/>
      <c r="F5" s="21"/>
    </row>
    <row r="6" spans="1:6" ht="30" customHeight="1">
      <c r="A6" s="9"/>
      <c r="B6" s="9"/>
      <c r="C6" s="9"/>
      <c r="D6" s="9"/>
      <c r="E6" s="9"/>
      <c r="F6" s="9"/>
    </row>
    <row r="7" spans="1:6" ht="27.95" customHeight="1">
      <c r="A7" s="22" t="s">
        <v>147</v>
      </c>
      <c r="B7" s="22"/>
      <c r="C7" s="22"/>
      <c r="D7" s="22"/>
      <c r="E7" s="22"/>
      <c r="F7" s="22"/>
    </row>
    <row r="8" spans="1:6" ht="38.1" customHeight="1">
      <c r="A8" s="21" t="s">
        <v>220</v>
      </c>
      <c r="B8" s="21"/>
      <c r="C8" s="21"/>
      <c r="D8" s="21"/>
      <c r="E8" s="21"/>
      <c r="F8" s="21"/>
    </row>
    <row r="9" spans="1:6" ht="38.1" customHeight="1">
      <c r="A9" s="18"/>
      <c r="B9" s="18"/>
      <c r="C9" s="18"/>
      <c r="D9" s="18"/>
      <c r="E9" s="18"/>
      <c r="F9" s="18"/>
    </row>
    <row r="10" spans="1:6" ht="42" customHeight="1">
      <c r="A10" s="5"/>
      <c r="B10" s="5"/>
      <c r="C10" s="5"/>
      <c r="D10" s="5"/>
      <c r="E10" s="5"/>
      <c r="F10" s="5"/>
    </row>
    <row r="11" spans="1:6" ht="27.95" customHeight="1">
      <c r="A11" s="20" t="s">
        <v>148</v>
      </c>
      <c r="B11" s="20"/>
      <c r="C11" s="20"/>
      <c r="D11" s="20"/>
      <c r="E11" s="20"/>
      <c r="F11" s="20"/>
    </row>
    <row r="12" spans="1:6" ht="38.1" customHeight="1">
      <c r="A12" s="18" t="s">
        <v>214</v>
      </c>
      <c r="B12" s="18"/>
      <c r="C12" s="18"/>
      <c r="D12" s="18"/>
      <c r="E12" s="18"/>
      <c r="F12" s="18"/>
    </row>
    <row r="13" spans="1:6" ht="38.1" customHeight="1">
      <c r="A13" s="18"/>
      <c r="B13" s="18"/>
      <c r="C13" s="18"/>
      <c r="D13" s="18"/>
      <c r="E13" s="18"/>
      <c r="F13" s="18"/>
    </row>
    <row r="15" spans="1:6" ht="27.95" customHeight="1">
      <c r="A15" s="20" t="s">
        <v>149</v>
      </c>
      <c r="B15" s="20"/>
      <c r="C15" s="20"/>
      <c r="D15" s="20"/>
      <c r="E15" s="20"/>
      <c r="F15" s="20"/>
    </row>
    <row r="16" spans="1:6" ht="38.1" customHeight="1">
      <c r="A16" s="23" t="s">
        <v>211</v>
      </c>
      <c r="B16" s="24"/>
      <c r="C16" s="24"/>
      <c r="D16" s="24"/>
      <c r="E16" s="24"/>
      <c r="F16" s="24"/>
    </row>
    <row r="17" spans="1:6" ht="38.1" customHeight="1">
      <c r="A17" s="24"/>
      <c r="B17" s="24"/>
      <c r="C17" s="24"/>
      <c r="D17" s="24"/>
      <c r="E17" s="24"/>
      <c r="F17" s="24"/>
    </row>
    <row r="19" spans="1:6" ht="27.95" customHeight="1">
      <c r="A19" s="20" t="s">
        <v>150</v>
      </c>
      <c r="B19" s="20"/>
      <c r="C19" s="20"/>
      <c r="D19" s="20"/>
      <c r="E19" s="20"/>
      <c r="F19" s="20"/>
    </row>
    <row r="20" spans="1:6" ht="38.1" customHeight="1">
      <c r="A20" s="18" t="s">
        <v>213</v>
      </c>
      <c r="B20" s="18"/>
      <c r="C20" s="18"/>
      <c r="D20" s="18"/>
      <c r="E20" s="18"/>
      <c r="F20" s="18"/>
    </row>
    <row r="21" spans="1:6" ht="38.1" customHeight="1">
      <c r="A21" s="18"/>
      <c r="B21" s="18"/>
      <c r="C21" s="18"/>
      <c r="D21" s="18"/>
      <c r="E21" s="18"/>
      <c r="F21" s="18"/>
    </row>
    <row r="23" spans="1:6" ht="27.95" customHeight="1">
      <c r="A23" s="20" t="s">
        <v>151</v>
      </c>
      <c r="B23" s="20"/>
      <c r="C23" s="20"/>
      <c r="D23" s="20"/>
      <c r="E23" s="20"/>
      <c r="F23" s="20"/>
    </row>
    <row r="24" spans="1:6" ht="38.1" customHeight="1">
      <c r="A24" s="18" t="s">
        <v>212</v>
      </c>
      <c r="B24" s="18"/>
      <c r="C24" s="18"/>
      <c r="D24" s="18"/>
      <c r="E24" s="18"/>
      <c r="F24" s="18"/>
    </row>
    <row r="25" spans="1:6" ht="38.1" customHeight="1">
      <c r="A25" s="18"/>
      <c r="B25" s="18"/>
      <c r="C25" s="18"/>
      <c r="D25" s="18"/>
      <c r="E25" s="18"/>
      <c r="F25" s="18"/>
    </row>
  </sheetData>
  <mergeCells count="13">
    <mergeCell ref="A20:F21"/>
    <mergeCell ref="A23:F23"/>
    <mergeCell ref="A24:F25"/>
    <mergeCell ref="A16:F17"/>
    <mergeCell ref="A11:F11"/>
    <mergeCell ref="A12:F13"/>
    <mergeCell ref="A15:F15"/>
    <mergeCell ref="A19:F19"/>
    <mergeCell ref="A1:F1"/>
    <mergeCell ref="A3:F3"/>
    <mergeCell ref="A4:F5"/>
    <mergeCell ref="A7:F7"/>
    <mergeCell ref="A8:F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Tshepiso Choeu</dc:creator>
  <cp:lastModifiedBy>Tshepiso Choeu</cp:lastModifiedBy>
  <dcterms:created xsi:type="dcterms:W3CDTF">2026-10-08T20:18:09Z</dcterms:created>
  <dcterms:modified xsi:type="dcterms:W3CDTF">2026-10-14T15:30:27Z</dcterms:modified>
</cp:coreProperties>
</file>