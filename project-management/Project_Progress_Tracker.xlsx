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27623\Downloads\WIL\"/>
    </mc:Choice>
  </mc:AlternateContent>
  <xr:revisionPtr revIDLastSave="0" documentId="13_ncr:1_{1BB61E3C-CC50-463D-AB98-5F2D643CAC4D}" xr6:coauthVersionLast="47" xr6:coauthVersionMax="47" xr10:uidLastSave="{00000000-0000-0000-0000-000000000000}"/>
  <bookViews>
    <workbookView xWindow="-108" yWindow="-108" windowWidth="23256" windowHeight="12456" firstSheet="2" activeTab="3"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2" l="1"/>
  <c r="B11" i="2" a="1"/>
  <c r="B11" i="2"/>
  <c r="M12" i="3"/>
  <c r="M13"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1" i="3"/>
  <c r="M10" i="3"/>
  <c r="M9" i="3"/>
  <c r="M8" i="3"/>
  <c r="M7" i="3"/>
  <c r="M6" i="3"/>
  <c r="M5" i="3"/>
  <c r="M4" i="3"/>
  <c r="M3" i="3"/>
  <c r="G15" i="2"/>
  <c r="G14" i="2"/>
  <c r="G12" i="2"/>
  <c r="G9" i="2"/>
  <c r="G8" i="2"/>
  <c r="G7" i="2"/>
  <c r="G6" i="2"/>
  <c r="G5" i="2"/>
  <c r="G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<sst xmlns="http://schemas.openxmlformats.org/spreadsheetml/2006/main" count="392" uniqueCount="284">
  <si>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</si>
  <si>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</si>
  <si>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</si>
  <si>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</si>
  <si>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</si>
  <si>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</si>
  <si>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</si>
  <si>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</si>
  <si>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</si>
  <si>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</si>
  <si>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</si>
  <si>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</si>
  <si>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</si>
  <si>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</si>
  <si>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</si>
  <si>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</si>
  <si>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</si>
  <si>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</si>
  <si>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</si>
  <si>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</si>
  <si>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</si>
  <si>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</si>
  <si>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</si>
  <si>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</si>
  <si>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</si>
  <si>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</si>
  <si>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</si>
  <si>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</si>
  <si>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</si>
  <si>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</si>
  <si>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</si>
  <si>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</si>
  <si>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</si>
  <si>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</si>
  <si>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</si>
  <si>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</si>
  <si>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</si>
  <si>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</si>
  <si>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</si>
  <si>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</si>
  <si>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</si>
  <si>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</si>
  <si>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</si>
  <si>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</si>
  <si>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</si>
  <si>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</si>
  <si>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</si>
  <si>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</si>
  <si>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</si>
  <si>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</si>
  <si>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</si>
  <si>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</si>
  <si>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</si>
  <si>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</si>
  <si>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</si>
  <si>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</si>
  <si>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</si>
  <si>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</si>
  <si>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</si>
  <si>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</si>
  <si>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</si>
  <si>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</si>
  <si>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</si>
  <si>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</si>
  <si>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</si>
  <si>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</si>
  <si>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</si>
  <si>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</si>
  <si>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</si>
  <si>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</si>
  <si>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</si>
  <si>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</si>
  <si>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</si>
  <si>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</si>
  <si>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</si>
  <si>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</si>
  <si>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</si>
  <si>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</si>
  <si>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</si>
  <si>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</si>
  <si>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</si>
  <si>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</si>
  <si>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</si>
  <si>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</si>
  <si>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</si>
  <si>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</si>
  <si>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</si>
  <si>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</si>
  <si>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</si>
  <si>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</si>
  <si>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</si>
  <si>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</si>
  <si>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</si>
  <si>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</si>
  <si>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</si>
  <si>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</si>
  <si>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</si>
  <si>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</si>
  <si>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</si>
  <si>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</si>
  <si>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</si>
  <si>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</si>
  <si>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</si>
  <si>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</si>
  <si>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</si>
  <si>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</si>
  <si>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</si>
  <si>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</si>
  <si>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</si>
  <si>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</si>
  <si>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</si>
  <si>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</si>
  <si>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</si>
  <si>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</si>
  <si>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</si>
  <si>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</si>
  <si>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</si>
  <si>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</si>
  <si>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</si>
  <si>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</si>
  <si>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</si>
  <si>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</si>
  <si>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</si>
  <si>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</si>
  <si>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</si>
  <si>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</si>
  <si>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</si>
  <si>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</si>
  <si>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</si>
  <si>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</si>
  <si>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</si>
  <si>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</si>
  <si>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</si>
  <si>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</si>
  <si>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</si>
  <si>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</si>
  <si>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</si>
  <si>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</si>
  <si>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</si>
  <si>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</si>
  <si>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</si>
  <si>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</si>
  <si>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</si>
  <si>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</si>
  <si>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</si>
  <si>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</si>
  <si>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</si>
  <si>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</si>
  <si>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</si>
  <si>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</si>
  <si>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</si>
  <si>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</si>
  <si>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</si>
  <si>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</si>
  <si>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</si>
  <si>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</si>
  <si>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</si>
  <si>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</si>
  <si>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</si>
  <si>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</si>
  <si>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</si>
  <si>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</si>
  <si>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</si>
  <si>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</si>
  <si>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</si>
  <si>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</si>
  <si>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</si>
  <si>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</si>
  <si>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</si>
  <si>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</si>
  <si>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</si>
  <si>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Tshegofatso</t>
  </si>
  <si>
    <t>Lerato</t>
  </si>
  <si>
    <t>Nkosinathi</t>
  </si>
  <si>
    <t>Selloane</t>
  </si>
  <si>
    <t>1.3</t>
  </si>
  <si>
    <t xml:space="preserve">1.1, 1.2, 1.3 </t>
  </si>
  <si>
    <t>HR</t>
  </si>
  <si>
    <t>Yes</t>
  </si>
  <si>
    <t>Group U</t>
  </si>
  <si>
    <t>Sebenza Clocking System</t>
  </si>
  <si>
    <t>Umzamo Analytical Services</t>
  </si>
  <si>
    <t>lerato</t>
  </si>
  <si>
    <t>kwanele</t>
  </si>
  <si>
    <t>Tshepiso</t>
  </si>
  <si>
    <t>Nkosinathi &amp; Tshepiso</t>
  </si>
  <si>
    <t xml:space="preserve">1.1 </t>
  </si>
  <si>
    <t xml:space="preserve">                                     -</t>
  </si>
  <si>
    <t xml:space="preserve">Stakeholder meeting confirmation </t>
  </si>
  <si>
    <t>Interview Questions document</t>
  </si>
  <si>
    <t xml:space="preserve">Interview minutes </t>
  </si>
  <si>
    <t>Github link</t>
  </si>
  <si>
    <t xml:space="preserve">Supabase setup screenshot </t>
  </si>
  <si>
    <t>progress tracker and contribution sheet</t>
  </si>
  <si>
    <t>all</t>
  </si>
  <si>
    <t>Resolved</t>
  </si>
  <si>
    <t>Updating the project schedule , compile and organise Evidence and finalise SRS.</t>
  </si>
  <si>
    <t>It was difficult to find a suitable time when all group members were available at the same time, which affected coordiination and meeting arrangements</t>
  </si>
  <si>
    <t>Ensuring that stakeholders requirements were properly discussed, recorded and considered in the project planning</t>
  </si>
  <si>
    <t>Current process and problem analysis</t>
  </si>
  <si>
    <t>Project aim, objectives and scope anaysis</t>
  </si>
  <si>
    <t>initial SRS document</t>
  </si>
  <si>
    <t>Microsoft project schedule</t>
  </si>
  <si>
    <t xml:space="preserve">interview Documentation and SRS Support </t>
  </si>
  <si>
    <t>1.2 and 1.3</t>
  </si>
  <si>
    <t xml:space="preserve"> 1.1  and 1.2</t>
  </si>
  <si>
    <t>1.1 and 1,2</t>
  </si>
  <si>
    <t>1.1 and 1.3</t>
  </si>
  <si>
    <t>1.1 and 1.2</t>
  </si>
  <si>
    <t xml:space="preserve">Stakeholder coommunication records and initial SRS sections </t>
  </si>
  <si>
    <t xml:space="preserve">Requirements review and Microsoft Project schedule </t>
  </si>
  <si>
    <t>Paki &amp; Tshepiso</t>
  </si>
  <si>
    <t>Thapelo</t>
  </si>
  <si>
    <t>Paki</t>
  </si>
  <si>
    <t>Pedro</t>
  </si>
  <si>
    <t>Takalani</t>
  </si>
  <si>
    <t>1.2</t>
  </si>
  <si>
    <t xml:space="preserve">Stakeholder interview Lead </t>
  </si>
  <si>
    <t>Project aim, objectives and Scope lead</t>
  </si>
  <si>
    <t>1.1</t>
  </si>
  <si>
    <t xml:space="preserve">Contacted and communicated with the stakeholder, facilitated stakeholder engagement, and led the initial SRS using the requirements gathered during unit 1 </t>
  </si>
  <si>
    <t>Technical Setup Support</t>
  </si>
  <si>
    <t xml:space="preserve">Stakeholder interview Question Lead </t>
  </si>
  <si>
    <t>Prepare the stakeholder interview questions used to gather the requirements durimg Activity 1.2</t>
  </si>
  <si>
    <t xml:space="preserve">Progress Report and Contribution Record Lead </t>
  </si>
  <si>
    <t xml:space="preserve">Conduct and Document the stakeholder interview and captured the key information required for the project </t>
  </si>
  <si>
    <t>Defined the project aim, objectives and scope for the Sebenza Clocking System based on the identified stakeholder problem</t>
  </si>
  <si>
    <t xml:space="preserve">current process and problem analysis. </t>
  </si>
  <si>
    <t>GitHub repository and Supabase setup evidence</t>
  </si>
  <si>
    <t>Stakeholder interview questions document</t>
  </si>
  <si>
    <t xml:space="preserve">Progress tracker and individual record </t>
  </si>
  <si>
    <t>Stakeholders need us to create a more reliable and verifiable clock in process . A system that will improve the reliability of attendance records</t>
  </si>
  <si>
    <t xml:space="preserve">The Stakeholder explained that they are currently using a manual way to take attendence. He also explained the issue with this method which was that workers can record an earlier arrival time than their actual time creating a risk of payment for hours not worked </t>
  </si>
  <si>
    <t>to identifiy the problems being faced by stakeholder and what can be done to fix that problem. Confirm their requirements.</t>
  </si>
  <si>
    <t>chose a sakeholder willing to be interviewed even if their time was limited .</t>
  </si>
  <si>
    <t>The initial SRS and supportong evidence still require fnal consolidation and verification before the phase is fully complete</t>
  </si>
  <si>
    <t xml:space="preserve">Documentation is still being checked aganinst the stakeholders findings and supporting evidence needs to be organised </t>
  </si>
  <si>
    <t xml:space="preserve">Use earlier internal deadlines, communicate task progress more consistently, collect evidence when tasks are completed and update the workbook continously </t>
  </si>
  <si>
    <t xml:space="preserve"> keeping the Microsoft Project Schedule up to date , making sure evidence for each contribution is available and to continue developing the system around the attendance verification problem and ensuring we set realistic timelines.</t>
  </si>
  <si>
    <t xml:space="preserve">We managed to Agree on which stakeholder to interview, identified the stakeholder's manual clocking system problem, we gathered preliminary requirements,  prepared the initial SRS content, created the Microsoft Project Schedule , set up GitHub and Supabase and updated the progress and contribution records </t>
  </si>
  <si>
    <t>Esuring that we get the requirements from the stakeholder because they gave us a clear understanding of the problem we were to fix</t>
  </si>
  <si>
    <t xml:space="preserve">There were communication difficulties because one member did not initially have a reliable way to communicate with the group , another goup member who was nearby was able to share important information and communicate the tasks allocated to the that member </t>
  </si>
  <si>
    <t>Finding a suitable stakeholder and arranging access to the stakeholder</t>
  </si>
  <si>
    <t>The group had to wait until the stake holder was available before ut coukd confirm the way forward</t>
  </si>
  <si>
    <t xml:space="preserve">Members who completed their own tasks supported members who still had outstanding work so that the group could continue progressing </t>
  </si>
  <si>
    <t>The group could not rush the stakeholder and had to use the available meeting time. This caused a later start than originally intended and increased time pressure</t>
  </si>
  <si>
    <t xml:space="preserve">Working around the stakeholder's availability while also making sure the required group members could attend </t>
  </si>
  <si>
    <t>The Group worked towards distributing meaningful responsibilities across all members. Each member was gven a defined responsibility and memebers supported one another when someone needed assitance. The contribution record reflects these responsibilities</t>
  </si>
  <si>
    <t>Delays were handled by communicating with affected members, clarifying what still needed to be done and providing support where becessary. When the stake holders availability affected the schedule th group used the availabile time and contnued preparing other work</t>
  </si>
  <si>
    <t xml:space="preserve">The group learned that the main issue is not simply recording attence digitally , th system must improve the reliability and verifiability of the clock n information. The stake holder current manual process can allow inaccurate arrival times to be recorded, which ca affect records and payment </t>
  </si>
  <si>
    <t>Start  tasks as soon as they are assgned and set earlier internal deadlines so that work is not rushed close to submission date</t>
  </si>
  <si>
    <t>Update the progress tracker and organise evidence immediately after tasks are completed, while keepng the responsibilities and records consistent information across the entire workbook</t>
  </si>
  <si>
    <t>For the next phase the priority is to follow the project schedule , keep the progress records up to date and maintaing clear evidence for each completed task</t>
  </si>
  <si>
    <t>All</t>
  </si>
  <si>
    <t>Project aim , objectives and scope analysis</t>
  </si>
  <si>
    <t>2 days</t>
  </si>
  <si>
    <t xml:space="preserve">13 days </t>
  </si>
  <si>
    <t xml:space="preserve">Completed assigned Activity 1,1 work and supported the group with project planning and documentation during preparation of the unit 1 submission  </t>
  </si>
  <si>
    <t xml:space="preserve"> Created and configured the Github repository and created the initial Supabase project for the group, drafted feasability and risk register  </t>
  </si>
  <si>
    <t>6 days</t>
  </si>
  <si>
    <t>11 days</t>
  </si>
  <si>
    <t>1 day</t>
  </si>
  <si>
    <t>4 hours</t>
  </si>
  <si>
    <t>12 days</t>
  </si>
  <si>
    <t xml:space="preserve">Compiled and updated the unit 1 progrss report and contribution record, working alongside Tshepiso to ensure member activities were captured </t>
  </si>
  <si>
    <t xml:space="preserve"> documented the current process and problem identfied during Activity 1,1</t>
  </si>
  <si>
    <t>Meeting facilitator  and SRS Lead</t>
  </si>
  <si>
    <t xml:space="preserve">TimeKeeper during meeting and Process Documentation Support </t>
  </si>
  <si>
    <t xml:space="preserve">Note - Taker  during meeting &amp; Reflection support </t>
  </si>
  <si>
    <t xml:space="preserve">Requirements Checker during meeting and Project Scheduling Support </t>
  </si>
  <si>
    <t>2026/18/21</t>
  </si>
  <si>
    <t>questionnair proof in SRS</t>
  </si>
  <si>
    <t xml:space="preserve">  intial SRS and progress documentation</t>
  </si>
  <si>
    <t>Stakeholder Answrs included in SRS</t>
  </si>
  <si>
    <t xml:space="preserve">progress documentation and meeting notes. </t>
  </si>
  <si>
    <t>The most important thing we learnt in this phase was that the system must be based on a real stakeholder problem,the stskeholder currently relies on manual employee clocking, which makes makes time difficult to verify.A worker could record an earlier arrival time than the time they actually arrived , which can result in payment for hours not worked . This showed the gorup why accurate requirements and stakeholder confirmation are important</t>
  </si>
  <si>
    <t>Stakeholder engagement, task allocation and the initial project seup went well. The group identified the main problem , gathered information from the stakeholder, divided responsibilities and started he SRS, Microsoft Progect chedule , GitHub repository and Supabase setup</t>
  </si>
  <si>
    <t>The main dffculty was coordinating work around he stakeholders availability and ensuring that information completed by one member was available to the others. The group also had to manage the different workbook records so that the task and contributions remained aligned</t>
  </si>
  <si>
    <t xml:space="preserve">Tasks were divided according to unit 1 activities and individual responsibilities. Nkosinathi led the stakeholder engagement and SRS work , Lerato documented the current ptocess, Takalani handled the project aim , objectives and scope , Thapelo prepared interview questions, Pedro conducted the stakeholder interview, Selloane handled project scheduling, Kwanele handled Github and Supabase  setup, Tshepiso supported interview documntation and srs work , Paki supported the progress and contribution records and Tshegofatso supported note taking and the group reflection </t>
  </si>
  <si>
    <t xml:space="preserve"> assisted with the initial SRS, process documentation and the unit progress documentation</t>
  </si>
  <si>
    <t xml:space="preserve">Unit 1 group reflection </t>
  </si>
  <si>
    <t>Recorded the processes followed by the group, took notes during meetings, and documented important decisions and discussions and kept track of activities. Assited with initial documentation, led group reflection,  and Proof read initial SRS and phase summary</t>
  </si>
  <si>
    <t>18 August 2026 - 4 September 2026</t>
  </si>
  <si>
    <t>Telephone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</si>
</sst>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7">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8"/>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5" fillId="6" borderId="9" xfId="0" applyFont="1" applyFill="1" applyBorder="1" applyAlignment="1">
      <alignment vertical="top" wrapText="1"/>
    </xf>
    <xf numFmtId="14" fontId="0" fillId="0" borderId="0" xfId="0" applyNumberFormat="1" applyAlignment="1">
      <alignment vertical="center"/>
    </xf>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extLst>
            <c:ext xmlns:c16="http://schemas.microsoft.com/office/drawing/2014/chart" uri="{C3380CC4-5D6E-409C-BE32-E72D297353CC}">
              <c16:uniqueId val="{00000000-9048-45C7-857A-2C667C891C8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0">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99">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B2" workbookViewId="0">
      <selection activeCell="G21" sqref="G21"/>
    </sheetView>
  </sheetViews>
  <sheetFormatPr defaultRowHeight="13.8"/>
  <cols>
    <col min="1" max="1" width="24" customWidth="1"/>
    <col min="2" max="2" width="48" customWidth="1"/>
    <col min="3" max="3" width="3" customWidth="1"/>
    <col min="4" max="4" width="10" customWidth="1"/>
    <col min="5" max="5" width="54" customWidth="1"/>
    <col min="6" max="8" width="12" customWidth="1"/>
  </cols>
  <sheetData>
    <row r="1" spans="1:8" ht="24" customHeight="1">
      <c r="A1" s="31" t="s">
        <v>0</v>
      </c>
      <c r="B1" s="31"/>
      <c r="C1" s="31"/>
      <c r="D1" s="31"/>
      <c r="E1" s="31"/>
      <c r="F1" s="31"/>
      <c r="G1" s="31"/>
      <c r="H1" s="31"/>
    </row>
    <row r="3" spans="1:8" ht="33.6" customHeight="1">
      <c r="A3" s="32" t="s">
        <v>1</v>
      </c>
      <c r="B3" s="32"/>
      <c r="C3" s="32"/>
      <c r="D3" s="32"/>
      <c r="E3" s="32"/>
      <c r="F3" s="32"/>
      <c r="G3" s="32"/>
      <c r="H3" s="32"/>
    </row>
    <row r="5" spans="1:8">
      <c r="A5" s="1" t="s">
        <v>2</v>
      </c>
      <c r="B5" s="2" t="s">
        <v>3</v>
      </c>
      <c r="D5" s="33" t="s">
        <v>4</v>
      </c>
      <c r="E5" s="34"/>
      <c r="F5" s="35"/>
      <c r="G5" s="35"/>
      <c r="H5" s="35"/>
    </row>
    <row r="6" spans="1:8" ht="27.15" customHeight="1">
      <c r="A6" s="3" t="s">
        <v>5</v>
      </c>
      <c r="B6" s="4" t="s">
        <v>6</v>
      </c>
      <c r="D6" s="3" t="s">
        <v>7</v>
      </c>
      <c r="E6" s="4" t="s">
        <v>8</v>
      </c>
    </row>
    <row r="7" spans="1:8" ht="27.15" customHeight="1">
      <c r="A7" s="3" t="s">
        <v>9</v>
      </c>
      <c r="B7" s="4" t="s">
        <v>10</v>
      </c>
      <c r="D7" s="3" t="s">
        <v>11</v>
      </c>
      <c r="E7" s="4" t="s">
        <v>12</v>
      </c>
    </row>
    <row r="8" spans="1:8" ht="27.15" customHeight="1">
      <c r="A8" s="3" t="s">
        <v>13</v>
      </c>
      <c r="B8" s="4" t="s">
        <v>14</v>
      </c>
      <c r="D8" s="3" t="s">
        <v>15</v>
      </c>
      <c r="E8" s="4" t="s">
        <v>16</v>
      </c>
    </row>
    <row r="9" spans="1:8" ht="27.15" customHeight="1">
      <c r="A9" s="3" t="s">
        <v>17</v>
      </c>
      <c r="B9" s="4" t="s">
        <v>18</v>
      </c>
      <c r="D9" s="3" t="s">
        <v>19</v>
      </c>
      <c r="E9" s="4" t="s">
        <v>20</v>
      </c>
    </row>
    <row r="10" spans="1:8" ht="27.15" customHeight="1">
      <c r="A10" s="3" t="s">
        <v>21</v>
      </c>
      <c r="B10" s="4" t="s">
        <v>22</v>
      </c>
      <c r="D10" s="3" t="s">
        <v>23</v>
      </c>
      <c r="E10" s="4" t="s">
        <v>24</v>
      </c>
    </row>
    <row r="11" spans="1:8" ht="27.15" customHeight="1">
      <c r="A11" s="3" t="s">
        <v>25</v>
      </c>
      <c r="B11" s="4" t="s">
        <v>26</v>
      </c>
      <c r="D11" s="5" t="s">
        <v>27</v>
      </c>
      <c r="E11" s="6" t="s">
        <v>28</v>
      </c>
    </row>
    <row r="12" spans="1:8" ht="27.6">
      <c r="A12" s="5" t="s">
        <v>29</v>
      </c>
      <c r="B12" s="6" t="s">
        <v>30</v>
      </c>
    </row>
    <row r="13" spans="1:8">
      <c r="D13" s="33" t="s">
        <v>31</v>
      </c>
      <c r="E13" s="34"/>
      <c r="F13" s="35"/>
      <c r="G13" s="35"/>
      <c r="H13" s="35"/>
    </row>
    <row r="14" spans="1:8" ht="27.6">
      <c r="D14" s="3" t="s">
        <v>32</v>
      </c>
      <c r="E14" s="4" t="s">
        <v>33</v>
      </c>
    </row>
    <row r="15" spans="1:8">
      <c r="D15" s="3" t="s">
        <v>34</v>
      </c>
      <c r="E15" s="4" t="s">
        <v>35</v>
      </c>
    </row>
    <row r="16" spans="1:8">
      <c r="D16" s="3" t="s">
        <v>36</v>
      </c>
      <c r="E16" s="4" t="s">
        <v>37</v>
      </c>
    </row>
    <row r="17" spans="4: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9" sqref="B9"/>
    </sheetView>
  </sheetViews>
  <sheetFormatPr defaultRowHeight="13.8"/>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4" customHeight="1">
      <c r="A1" s="31" t="s">
        <v>40</v>
      </c>
      <c r="B1" s="31"/>
      <c r="C1" s="31"/>
      <c r="D1" s="31"/>
      <c r="E1" s="31"/>
      <c r="F1" s="31"/>
      <c r="G1" s="31"/>
      <c r="H1" s="31"/>
      <c r="I1" s="31"/>
      <c r="J1" s="31"/>
      <c r="K1" s="31"/>
      <c r="L1" s="31"/>
    </row>
    <row r="3" spans="1:12">
      <c r="A3" s="1" t="s">
        <v>41</v>
      </c>
      <c r="B3" s="2" t="s">
        <v>42</v>
      </c>
      <c r="F3" s="1" t="s">
        <v>43</v>
      </c>
      <c r="G3" s="2" t="s">
        <v>44</v>
      </c>
    </row>
    <row r="4" spans="1:12" ht="22.35" customHeight="1">
      <c r="A4" s="3" t="s">
        <v>45</v>
      </c>
      <c r="B4" s="7" t="s">
        <v>179</v>
      </c>
      <c r="F4" s="3" t="s">
        <v>46</v>
      </c>
      <c r="G4" s="10">
        <f>COUNTIF('Task Progress'!H2:H100,"Completed")</f>
        <v>11</v>
      </c>
    </row>
    <row r="5" spans="1:12" ht="22.35" customHeight="1">
      <c r="A5" s="3" t="s">
        <v>47</v>
      </c>
      <c r="B5" s="7" t="s">
        <v>180</v>
      </c>
      <c r="F5" s="3" t="s">
        <v>48</v>
      </c>
      <c r="G5" s="10">
        <f>COUNTIF('Task Progress'!H2:H100,"In Progress")</f>
        <v>0</v>
      </c>
    </row>
    <row r="6" spans="1:12" ht="22.35" customHeight="1">
      <c r="A6" s="3" t="s">
        <v>49</v>
      </c>
      <c r="B6" s="7" t="s">
        <v>181</v>
      </c>
      <c r="F6" s="3" t="s">
        <v>50</v>
      </c>
      <c r="G6" s="10">
        <f>COUNTIF('Task Progress'!H2:H100,"Not Started")</f>
        <v>0</v>
      </c>
    </row>
    <row r="7" spans="1:12" ht="22.35" customHeight="1">
      <c r="A7" s="3" t="s">
        <v>51</v>
      </c>
      <c r="B7" s="7" t="s">
        <v>187</v>
      </c>
      <c r="F7" s="3" t="s">
        <v>52</v>
      </c>
      <c r="G7" s="10">
        <f>COUNTIF('Task Progress'!H2:H100,"Delayed")</f>
        <v>0</v>
      </c>
    </row>
    <row r="8" spans="1:12" ht="22.35" customHeight="1">
      <c r="A8" s="3" t="s">
        <v>53</v>
      </c>
      <c r="B8" s="7" t="s">
        <v>32</v>
      </c>
      <c r="F8" s="3" t="s">
        <v>54</v>
      </c>
      <c r="G8" s="10">
        <f>COUNTIF('Task Progress'!H2:H100,"Blocked")</f>
        <v>0</v>
      </c>
    </row>
    <row r="9" spans="1:12" ht="22.35" customHeight="1">
      <c r="A9" s="3" t="s">
        <v>55</v>
      </c>
      <c r="B9" s="7" t="s">
        <v>282</v>
      </c>
      <c r="F9" s="5" t="s">
        <v>56</v>
      </c>
      <c r="G9" s="11">
        <f ca="1">COUNTIF('Task Progress'!M2:M100,"Overdue")</f>
        <v>0</v>
      </c>
    </row>
    <row r="10" spans="1:12" ht="22.35" customHeight="1">
      <c r="A10" s="3" t="s">
        <v>57</v>
      </c>
      <c r="B10" s="7" t="s">
        <v>48</v>
      </c>
    </row>
    <row r="11" spans="1:12" ht="22.35" customHeight="1">
      <c r="A11" s="3" t="s">
        <v>58</v>
      </c>
      <c r="B11" s="8" cm="1">
        <f t="array" aca="1" ref="B11" ca="1">IFERROR(SUM('Task Progress'!I2:I100)/B13COUNTIF('Task Progress'!D2:D100,"&lt;&gt;")/100,1)</f>
        <v>1</v>
      </c>
      <c r="F11" s="1" t="s">
        <v>59</v>
      </c>
      <c r="G11" s="2" t="s">
        <v>44</v>
      </c>
    </row>
    <row r="12" spans="1:12" ht="41.4">
      <c r="A12" s="3" t="s">
        <v>60</v>
      </c>
      <c r="B12" s="7" t="s">
        <v>198</v>
      </c>
      <c r="F12" s="3" t="s">
        <v>61</v>
      </c>
      <c r="G12" s="10">
        <f>COUNTIF('Individual Contributions'!E3:E201,"?*")</f>
        <v>10</v>
      </c>
    </row>
    <row r="13" spans="1:12" ht="41.4">
      <c r="A13" s="3" t="s">
        <v>62</v>
      </c>
      <c r="B13" s="7" t="s">
        <v>197</v>
      </c>
      <c r="F13" s="3" t="s">
        <v>63</v>
      </c>
      <c r="G13" s="10">
        <f>COUNTIFS('Individual Contributions'!E3:E201,"?*",'Individual Contributions'!J3:J201,"Yes")</f>
        <v>10</v>
      </c>
    </row>
    <row r="14" spans="1:12" ht="38.4" customHeight="1">
      <c r="A14" s="5" t="s">
        <v>64</v>
      </c>
      <c r="B14" s="9" t="s">
        <v>196</v>
      </c>
      <c r="F14" s="3" t="s">
        <v>65</v>
      </c>
      <c r="G14" s="10">
        <f>COUNTIFS('Individual Contributions'!E3:E201,"?*",'Individual Contributions'!J3:J201,"No")</f>
        <v>0</v>
      </c>
    </row>
    <row r="15" spans="1:12">
      <c r="F15" s="5" t="s">
        <v>66</v>
      </c>
      <c r="G15" s="11">
        <f>COUNT('Stakeholder Engagement'!A3:A101)</f>
        <v>0</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
  <sheetViews>
    <sheetView workbookViewId="0">
      <selection activeCell="G21" sqref="G21"/>
    </sheetView>
  </sheetViews>
  <sheetFormatPr defaultRowHeight="13.8"/>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4" customHeight="1">
      <c r="A1" s="31" t="s">
        <v>67</v>
      </c>
      <c r="B1" s="31"/>
      <c r="C1" s="31"/>
      <c r="D1" s="31"/>
      <c r="E1" s="31"/>
      <c r="F1" s="31"/>
      <c r="G1" s="31"/>
      <c r="H1" s="31"/>
      <c r="I1" s="31"/>
      <c r="J1" s="31"/>
      <c r="K1" s="31"/>
      <c r="L1" s="31"/>
      <c r="M1" s="31"/>
    </row>
    <row r="2" spans="1:13" ht="27.6">
      <c r="A2" s="1" t="s">
        <v>68</v>
      </c>
      <c r="B2" s="15" t="s">
        <v>69</v>
      </c>
      <c r="C2" s="15" t="s">
        <v>70</v>
      </c>
      <c r="D2" s="15" t="s">
        <v>71</v>
      </c>
      <c r="E2" s="15" t="s">
        <v>72</v>
      </c>
      <c r="F2" s="15" t="s">
        <v>73</v>
      </c>
      <c r="G2" s="15" t="s">
        <v>74</v>
      </c>
      <c r="H2" s="15" t="s">
        <v>75</v>
      </c>
      <c r="I2" s="15" t="s">
        <v>76</v>
      </c>
      <c r="J2" s="15" t="s">
        <v>77</v>
      </c>
      <c r="K2" s="15" t="s">
        <v>78</v>
      </c>
      <c r="L2" s="15" t="s">
        <v>79</v>
      </c>
      <c r="M2" s="2" t="s">
        <v>80</v>
      </c>
    </row>
    <row r="3" spans="1:13">
      <c r="A3" s="16" t="s">
        <v>81</v>
      </c>
      <c r="B3" s="12" t="s">
        <v>32</v>
      </c>
      <c r="C3" s="12" t="s">
        <v>82</v>
      </c>
      <c r="D3" s="12" t="s">
        <v>83</v>
      </c>
      <c r="E3" s="12" t="s">
        <v>173</v>
      </c>
      <c r="F3" s="13">
        <v>46252</v>
      </c>
      <c r="G3" s="13">
        <v>46253</v>
      </c>
      <c r="H3" s="12" t="s">
        <v>46</v>
      </c>
      <c r="I3" s="14">
        <v>100</v>
      </c>
      <c r="J3" s="12" t="s">
        <v>188</v>
      </c>
      <c r="K3" s="12" t="s">
        <v>178</v>
      </c>
      <c r="L3" s="12"/>
      <c r="M3" s="17" t="str">
        <f t="shared" ref="M3:M33" ca="1" si="0">IF(D3="","",IF(H3="Completed","Completed",IF(H3="Blocked","Blocked",IF(H3="Delayed","Delayed",IF(AND(G3&lt;&gt;"",G3&lt;TODAY(),H3&lt;&gt;"Completed"),"Overdue","On Track")))))</f>
        <v>Completed</v>
      </c>
    </row>
    <row r="4" spans="1:13">
      <c r="A4" s="16" t="s">
        <v>84</v>
      </c>
      <c r="B4" s="12" t="s">
        <v>32</v>
      </c>
      <c r="C4" s="12" t="s">
        <v>82</v>
      </c>
      <c r="D4" s="12" t="s">
        <v>85</v>
      </c>
      <c r="E4" s="12" t="s">
        <v>182</v>
      </c>
      <c r="F4" s="13">
        <v>46255</v>
      </c>
      <c r="G4" s="13">
        <v>46257</v>
      </c>
      <c r="H4" s="12" t="s">
        <v>46</v>
      </c>
      <c r="I4" s="14">
        <v>100</v>
      </c>
      <c r="J4" s="12" t="s">
        <v>199</v>
      </c>
      <c r="K4" s="12" t="s">
        <v>178</v>
      </c>
      <c r="L4" s="12"/>
      <c r="M4" s="17" t="str">
        <f t="shared" ca="1" si="0"/>
        <v>Completed</v>
      </c>
    </row>
    <row r="5" spans="1:13" ht="27.6">
      <c r="A5" s="16" t="s">
        <v>86</v>
      </c>
      <c r="B5" s="12" t="s">
        <v>32</v>
      </c>
      <c r="C5" s="12" t="s">
        <v>82</v>
      </c>
      <c r="D5" s="12" t="s">
        <v>87</v>
      </c>
      <c r="E5" s="12" t="s">
        <v>215</v>
      </c>
      <c r="F5" s="13">
        <v>46258</v>
      </c>
      <c r="G5" s="13">
        <v>46259</v>
      </c>
      <c r="H5" s="12" t="s">
        <v>46</v>
      </c>
      <c r="I5" s="14">
        <v>100</v>
      </c>
      <c r="J5" s="12" t="s">
        <v>200</v>
      </c>
      <c r="K5" s="12" t="s">
        <v>178</v>
      </c>
      <c r="L5" s="12"/>
      <c r="M5" s="17" t="str">
        <f t="shared" ca="1" si="0"/>
        <v>Completed</v>
      </c>
    </row>
    <row r="6" spans="1:13">
      <c r="A6" s="16" t="s">
        <v>88</v>
      </c>
      <c r="B6" s="12" t="s">
        <v>32</v>
      </c>
      <c r="C6" s="12" t="s">
        <v>89</v>
      </c>
      <c r="D6" s="12" t="s">
        <v>90</v>
      </c>
      <c r="E6" s="12" t="s">
        <v>212</v>
      </c>
      <c r="F6" s="13">
        <v>46250</v>
      </c>
      <c r="G6" s="13">
        <v>46251</v>
      </c>
      <c r="H6" s="12" t="s">
        <v>46</v>
      </c>
      <c r="I6" s="14">
        <v>100</v>
      </c>
      <c r="J6" s="12" t="s">
        <v>189</v>
      </c>
      <c r="K6" s="12" t="s">
        <v>178</v>
      </c>
      <c r="L6" s="12"/>
      <c r="M6" s="17" t="str">
        <f t="shared" ca="1" si="0"/>
        <v>Completed</v>
      </c>
    </row>
    <row r="7" spans="1:13" ht="27.6">
      <c r="A7" s="16" t="s">
        <v>91</v>
      </c>
      <c r="B7" s="12" t="s">
        <v>32</v>
      </c>
      <c r="C7" s="12" t="s">
        <v>89</v>
      </c>
      <c r="D7" s="12" t="s">
        <v>92</v>
      </c>
      <c r="E7" s="12" t="s">
        <v>214</v>
      </c>
      <c r="F7" s="13">
        <v>46252</v>
      </c>
      <c r="G7" s="13">
        <v>46254</v>
      </c>
      <c r="H7" s="12" t="s">
        <v>46</v>
      </c>
      <c r="I7" s="14">
        <v>100</v>
      </c>
      <c r="J7" s="12" t="s">
        <v>190</v>
      </c>
      <c r="K7" s="12" t="s">
        <v>178</v>
      </c>
      <c r="L7" s="12"/>
      <c r="M7" s="17" t="str">
        <f t="shared" ca="1" si="0"/>
        <v>Completed</v>
      </c>
    </row>
    <row r="8" spans="1:13">
      <c r="A8" s="16" t="s">
        <v>93</v>
      </c>
      <c r="B8" s="12" t="s">
        <v>32</v>
      </c>
      <c r="C8" s="12" t="s">
        <v>94</v>
      </c>
      <c r="D8" s="12" t="s">
        <v>95</v>
      </c>
      <c r="E8" s="12" t="s">
        <v>185</v>
      </c>
      <c r="F8" s="13">
        <v>46259</v>
      </c>
      <c r="G8" s="13">
        <v>46264</v>
      </c>
      <c r="H8" s="12" t="s">
        <v>46</v>
      </c>
      <c r="I8" s="14">
        <v>100</v>
      </c>
      <c r="J8" s="12" t="s">
        <v>201</v>
      </c>
      <c r="K8" s="12" t="s">
        <v>178</v>
      </c>
      <c r="L8" s="12"/>
      <c r="M8" s="17" t="str">
        <f t="shared" ca="1" si="0"/>
        <v>Completed</v>
      </c>
    </row>
    <row r="9" spans="1:13">
      <c r="A9" s="16" t="s">
        <v>96</v>
      </c>
      <c r="B9" s="12" t="s">
        <v>32</v>
      </c>
      <c r="C9" s="12" t="s">
        <v>94</v>
      </c>
      <c r="D9" s="12" t="s">
        <v>97</v>
      </c>
      <c r="E9" s="12" t="s">
        <v>174</v>
      </c>
      <c r="F9" s="13">
        <v>46253</v>
      </c>
      <c r="G9" s="13">
        <v>46264</v>
      </c>
      <c r="H9" s="12" t="s">
        <v>46</v>
      </c>
      <c r="I9" s="14">
        <v>100</v>
      </c>
      <c r="J9" s="12" t="s">
        <v>202</v>
      </c>
      <c r="K9" s="12" t="s">
        <v>178</v>
      </c>
      <c r="L9" s="12"/>
      <c r="M9" s="17" t="str">
        <f t="shared" ca="1" si="0"/>
        <v>Completed</v>
      </c>
    </row>
    <row r="10" spans="1:13">
      <c r="A10" s="16" t="s">
        <v>98</v>
      </c>
      <c r="B10" s="12" t="s">
        <v>32</v>
      </c>
      <c r="C10" s="12" t="s">
        <v>94</v>
      </c>
      <c r="D10" s="12" t="s">
        <v>99</v>
      </c>
      <c r="E10" s="12" t="s">
        <v>183</v>
      </c>
      <c r="F10" s="13">
        <v>46258</v>
      </c>
      <c r="G10" s="13">
        <v>46258</v>
      </c>
      <c r="H10" s="12" t="s">
        <v>46</v>
      </c>
      <c r="I10" s="14">
        <v>100</v>
      </c>
      <c r="J10" s="12" t="s">
        <v>191</v>
      </c>
      <c r="K10" s="12" t="s">
        <v>178</v>
      </c>
      <c r="L10" s="12"/>
      <c r="M10" s="17" t="str">
        <f t="shared" ca="1" si="0"/>
        <v>Completed</v>
      </c>
    </row>
    <row r="11" spans="1:13">
      <c r="A11" s="16" t="s">
        <v>100</v>
      </c>
      <c r="B11" s="12" t="s">
        <v>32</v>
      </c>
      <c r="C11" s="12" t="s">
        <v>94</v>
      </c>
      <c r="D11" s="12" t="s">
        <v>101</v>
      </c>
      <c r="E11" s="12" t="s">
        <v>183</v>
      </c>
      <c r="F11" s="13">
        <v>46259</v>
      </c>
      <c r="G11" s="13">
        <v>46259</v>
      </c>
      <c r="H11" s="12" t="s">
        <v>46</v>
      </c>
      <c r="I11" s="14">
        <v>100</v>
      </c>
      <c r="J11" s="12" t="s">
        <v>192</v>
      </c>
      <c r="K11" s="12" t="s">
        <v>178</v>
      </c>
      <c r="L11" s="12"/>
      <c r="M11" s="17" t="str">
        <f t="shared" ca="1" si="0"/>
        <v>Completed</v>
      </c>
    </row>
    <row r="12" spans="1:13" ht="27.6">
      <c r="A12" s="16" t="s">
        <v>102</v>
      </c>
      <c r="B12" s="12" t="s">
        <v>32</v>
      </c>
      <c r="C12" s="12" t="s">
        <v>94</v>
      </c>
      <c r="D12" s="12" t="s">
        <v>103</v>
      </c>
      <c r="E12" s="12" t="s">
        <v>211</v>
      </c>
      <c r="F12" s="13">
        <v>46252</v>
      </c>
      <c r="G12" s="13">
        <v>46264</v>
      </c>
      <c r="H12" s="12" t="s">
        <v>46</v>
      </c>
      <c r="I12" s="14">
        <v>100</v>
      </c>
      <c r="J12" s="12" t="s">
        <v>193</v>
      </c>
      <c r="K12" s="12" t="s">
        <v>178</v>
      </c>
      <c r="L12" s="12"/>
      <c r="M12" s="17" t="str">
        <f t="shared" ca="1" si="0"/>
        <v>Completed</v>
      </c>
    </row>
    <row r="13" spans="1:13">
      <c r="A13" s="16" t="s">
        <v>104</v>
      </c>
      <c r="B13" s="12" t="s">
        <v>32</v>
      </c>
      <c r="C13" s="12" t="s">
        <v>94</v>
      </c>
      <c r="D13" s="12" t="s">
        <v>105</v>
      </c>
      <c r="E13" s="12" t="s">
        <v>171</v>
      </c>
      <c r="F13" s="13">
        <v>46263</v>
      </c>
      <c r="G13" s="13">
        <v>46264</v>
      </c>
      <c r="H13" s="12" t="s">
        <v>46</v>
      </c>
      <c r="I13" s="14">
        <v>100</v>
      </c>
      <c r="J13" s="12" t="s">
        <v>280</v>
      </c>
      <c r="K13" s="12" t="s">
        <v>178</v>
      </c>
      <c r="L13" s="12"/>
      <c r="M13" s="17" t="str">
        <f t="shared" ca="1" si="0"/>
        <v>Completed</v>
      </c>
    </row>
    <row r="14" spans="1:13">
      <c r="A14" s="16"/>
      <c r="B14" s="12"/>
      <c r="C14" s="12"/>
      <c r="D14" s="12"/>
      <c r="E14" s="12"/>
      <c r="F14" s="13"/>
      <c r="G14" s="13"/>
      <c r="H14" s="12"/>
      <c r="I14" s="14"/>
      <c r="J14" s="12"/>
      <c r="K14" s="12"/>
      <c r="L14" s="12"/>
      <c r="M14" s="17" t="str">
        <f t="shared" ca="1" si="0"/>
        <v/>
      </c>
    </row>
    <row r="15" spans="1:13">
      <c r="A15" s="16"/>
      <c r="B15" s="12"/>
      <c r="C15" s="12"/>
      <c r="D15" s="12"/>
      <c r="E15" s="12"/>
      <c r="F15" s="13"/>
      <c r="G15" s="13"/>
      <c r="H15" s="12"/>
      <c r="I15" s="14"/>
      <c r="J15" s="12"/>
      <c r="K15" s="12"/>
      <c r="L15" s="12"/>
      <c r="M15" s="17" t="str">
        <f t="shared" ca="1" si="0"/>
        <v/>
      </c>
    </row>
    <row r="16" spans="1:13">
      <c r="A16" s="16"/>
      <c r="B16" s="12"/>
      <c r="C16" s="12"/>
      <c r="D16" s="12"/>
      <c r="E16" s="12"/>
      <c r="F16" s="13"/>
      <c r="G16" s="13"/>
      <c r="H16" s="12"/>
      <c r="I16" s="14"/>
      <c r="J16" s="12"/>
      <c r="K16" s="12"/>
      <c r="L16" s="12"/>
      <c r="M16" s="17" t="str">
        <f t="shared" ca="1" si="0"/>
        <v/>
      </c>
    </row>
    <row r="17" spans="1:13">
      <c r="A17" s="16"/>
      <c r="B17" s="12"/>
      <c r="C17" s="12"/>
      <c r="D17" s="12"/>
      <c r="E17" s="12"/>
      <c r="F17" s="13"/>
      <c r="G17" s="13"/>
      <c r="H17" s="12"/>
      <c r="I17" s="14"/>
      <c r="J17" s="12"/>
      <c r="K17" s="12"/>
      <c r="L17" s="12"/>
      <c r="M17" s="17" t="str">
        <f t="shared" ca="1" si="0"/>
        <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ca="1" si="0"/>
        <v/>
      </c>
    </row>
    <row r="20" spans="1:13">
      <c r="A20" s="16"/>
      <c r="B20" s="12"/>
      <c r="C20" s="12"/>
      <c r="D20" s="12"/>
      <c r="E20" s="12"/>
      <c r="F20" s="13"/>
      <c r="G20" s="13"/>
      <c r="H20" s="12"/>
      <c r="I20" s="14"/>
      <c r="J20" s="12"/>
      <c r="K20" s="12"/>
      <c r="L20" s="12"/>
      <c r="M20" s="17" t="str">
        <f t="shared" ca="1" si="0"/>
        <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ref="M34:M65" ca="1" si="1">IF(D34="","",IF(H34="Completed","Completed",IF(H34="Blocked","Blocked",IF(H34="Delayed","Delayed",IF(AND(G34&lt;&gt;"",G34&lt;TODAY(),H34&lt;&gt;"Completed"),"Overdue","On Track")))))</f>
        <v/>
      </c>
    </row>
    <row r="35" spans="1:13">
      <c r="A35" s="16"/>
      <c r="B35" s="12"/>
      <c r="C35" s="12"/>
      <c r="D35" s="12"/>
      <c r="E35" s="12"/>
      <c r="F35" s="13"/>
      <c r="G35" s="13"/>
      <c r="H35" s="12"/>
      <c r="I35" s="14"/>
      <c r="J35" s="12"/>
      <c r="K35" s="12"/>
      <c r="L35" s="12"/>
      <c r="M35" s="17" t="str">
        <f t="shared" ca="1" si="1"/>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ref="M66:M100" ca="1" si="2">IF(D66="","",IF(H66="Completed","Completed",IF(H66="Blocked","Blocked",IF(H66="Delayed","Delayed",IF(AND(G66&lt;&gt;"",G66&lt;TODAY(),H66&lt;&gt;"Completed"),"Overdue","On Track")))))</f>
        <v/>
      </c>
    </row>
    <row r="67" spans="1:13">
      <c r="A67" s="16"/>
      <c r="B67" s="12"/>
      <c r="C67" s="12"/>
      <c r="D67" s="12"/>
      <c r="E67" s="12"/>
      <c r="F67" s="13"/>
      <c r="G67" s="13"/>
      <c r="H67" s="12"/>
      <c r="I67" s="14"/>
      <c r="J67" s="12"/>
      <c r="K67" s="12"/>
      <c r="L67" s="12"/>
      <c r="M67" s="17" t="str">
        <f t="shared" ca="1" si="2"/>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8"/>
      <c r="B100" s="19"/>
      <c r="C100" s="19"/>
      <c r="D100" s="19"/>
      <c r="E100" s="19"/>
      <c r="F100" s="20"/>
      <c r="G100" s="20"/>
      <c r="H100" s="19"/>
      <c r="I100" s="21"/>
      <c r="J100" s="12"/>
      <c r="K100" s="19"/>
      <c r="L100" s="19"/>
      <c r="M100" s="22" t="str">
        <f t="shared" ca="1" si="2"/>
        <v/>
      </c>
    </row>
  </sheetData>
  <mergeCells count="1">
    <mergeCell ref="A1:M1"/>
  </mergeCells>
  <conditionalFormatting sqref="H3:H100">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0">
    <cfRule type="dataBar" priority="16">
      <dataBar>
        <cfvo type="min"/>
        <cfvo type="max"/>
        <color rgb="FF1F5A94"/>
      </dataBar>
    </cfRule>
    <cfRule type="dataBar" priority="17">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0">
    <cfRule type="expression" dxfId="7" priority="5">
      <formula>M3="Overdue"</formula>
    </cfRule>
  </conditionalFormatting>
  <dataValidations count="4">
    <dataValidation type="list" sqref="B3:B100" xr:uid="{00000000-0002-0000-0200-000000000000}">
      <formula1>"Unit 1 / Phase 1,Phase 2,Phase 3,Final"</formula1>
    </dataValidation>
    <dataValidation type="list" sqref="H3:H100" xr:uid="{00000000-0002-0000-0200-000001000000}">
      <formula1>"Not Started,In Progress,Completed,Delayed,Blocked"</formula1>
    </dataValidation>
    <dataValidation type="list" sqref="I3:I100" xr:uid="{00000000-0002-0000-0200-000002000000}">
      <formula1>"0,25,50,75,100"</formula1>
    </dataValidation>
    <dataValidation type="list" sqref="K3:K100"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abSelected="1" topLeftCell="A2" zoomScale="70" zoomScaleNormal="70" workbookViewId="0">
      <selection activeCell="G14" sqref="G14"/>
    </sheetView>
  </sheetViews>
  <sheetFormatPr defaultRowHeight="13.8"/>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4" customHeight="1">
      <c r="A1" s="31" t="s">
        <v>106</v>
      </c>
      <c r="B1" s="31"/>
      <c r="C1" s="31"/>
      <c r="D1" s="31"/>
      <c r="E1" s="31"/>
      <c r="F1" s="31"/>
      <c r="G1" s="31"/>
      <c r="H1" s="31"/>
      <c r="I1" s="31"/>
      <c r="J1" s="31"/>
      <c r="K1" s="31"/>
      <c r="L1" s="31"/>
    </row>
    <row r="2" spans="1:12" ht="27.6">
      <c r="A2" s="1" t="s">
        <v>107</v>
      </c>
      <c r="B2" s="15" t="s">
        <v>108</v>
      </c>
      <c r="C2" s="15" t="s">
        <v>69</v>
      </c>
      <c r="D2" s="15" t="s">
        <v>70</v>
      </c>
      <c r="E2" s="15" t="s">
        <v>109</v>
      </c>
      <c r="F2" s="15" t="s">
        <v>110</v>
      </c>
      <c r="G2" s="15" t="s">
        <v>111</v>
      </c>
      <c r="H2" s="15" t="s">
        <v>112</v>
      </c>
      <c r="I2" s="15" t="s">
        <v>77</v>
      </c>
      <c r="J2" s="15" t="s">
        <v>78</v>
      </c>
      <c r="K2" s="15" t="s">
        <v>113</v>
      </c>
      <c r="L2" s="2" t="s">
        <v>114</v>
      </c>
    </row>
    <row r="3" spans="1:12" ht="96.6">
      <c r="A3" s="16" t="s">
        <v>171</v>
      </c>
      <c r="B3" s="12">
        <v>221008431</v>
      </c>
      <c r="C3" s="12" t="s">
        <v>32</v>
      </c>
      <c r="D3" s="12" t="s">
        <v>175</v>
      </c>
      <c r="E3" s="12" t="s">
        <v>268</v>
      </c>
      <c r="F3" s="12" t="s">
        <v>281</v>
      </c>
      <c r="G3" s="13">
        <v>46264</v>
      </c>
      <c r="H3" s="23" t="s">
        <v>256</v>
      </c>
      <c r="I3" s="12" t="s">
        <v>274</v>
      </c>
      <c r="J3" s="12" t="s">
        <v>178</v>
      </c>
      <c r="K3" s="30">
        <v>46264</v>
      </c>
      <c r="L3" s="13"/>
    </row>
    <row r="4" spans="1:12" ht="27.6">
      <c r="A4" s="16" t="s">
        <v>172</v>
      </c>
      <c r="B4" s="12">
        <v>221019628</v>
      </c>
      <c r="C4" s="12" t="s">
        <v>32</v>
      </c>
      <c r="D4" s="12" t="s">
        <v>186</v>
      </c>
      <c r="E4" s="12" t="s">
        <v>267</v>
      </c>
      <c r="F4" s="12" t="s">
        <v>265</v>
      </c>
      <c r="G4" s="13">
        <v>46257</v>
      </c>
      <c r="H4" s="23" t="s">
        <v>255</v>
      </c>
      <c r="I4" s="12" t="s">
        <v>227</v>
      </c>
      <c r="J4" s="12" t="s">
        <v>178</v>
      </c>
      <c r="K4" s="13">
        <v>46264</v>
      </c>
      <c r="L4" s="17"/>
    </row>
    <row r="5" spans="1:12" ht="55.2">
      <c r="A5" s="16" t="s">
        <v>173</v>
      </c>
      <c r="B5" s="12">
        <v>222001265</v>
      </c>
      <c r="C5" s="12" t="s">
        <v>32</v>
      </c>
      <c r="D5" s="12" t="s">
        <v>176</v>
      </c>
      <c r="E5" s="12" t="s">
        <v>266</v>
      </c>
      <c r="F5" s="12" t="s">
        <v>220</v>
      </c>
      <c r="G5" s="13">
        <v>46264</v>
      </c>
      <c r="H5" s="23" t="s">
        <v>259</v>
      </c>
      <c r="I5" s="12" t="s">
        <v>209</v>
      </c>
      <c r="J5" s="12" t="s">
        <v>178</v>
      </c>
      <c r="K5" s="13">
        <v>46264</v>
      </c>
      <c r="L5" s="17"/>
    </row>
    <row r="6" spans="1:12" ht="55.2">
      <c r="A6" s="16" t="s">
        <v>174</v>
      </c>
      <c r="B6" s="12">
        <v>221003714</v>
      </c>
      <c r="C6" s="12" t="s">
        <v>32</v>
      </c>
      <c r="D6" s="12" t="s">
        <v>208</v>
      </c>
      <c r="E6" s="12" t="s">
        <v>269</v>
      </c>
      <c r="F6" s="12" t="s">
        <v>257</v>
      </c>
      <c r="G6" s="13">
        <v>46264</v>
      </c>
      <c r="H6" s="23" t="s">
        <v>260</v>
      </c>
      <c r="I6" s="12" t="s">
        <v>210</v>
      </c>
      <c r="J6" s="12" t="s">
        <v>178</v>
      </c>
      <c r="K6" s="13">
        <v>46264</v>
      </c>
      <c r="L6" s="17"/>
    </row>
    <row r="7" spans="1:12" ht="55.2">
      <c r="A7" s="16" t="s">
        <v>183</v>
      </c>
      <c r="B7" s="12">
        <v>221049921</v>
      </c>
      <c r="C7" s="12" t="s">
        <v>32</v>
      </c>
      <c r="D7" s="12" t="s">
        <v>207</v>
      </c>
      <c r="E7" s="12" t="s">
        <v>221</v>
      </c>
      <c r="F7" s="12" t="s">
        <v>258</v>
      </c>
      <c r="G7" s="13">
        <v>46259</v>
      </c>
      <c r="H7" s="23" t="s">
        <v>261</v>
      </c>
      <c r="I7" s="12" t="s">
        <v>228</v>
      </c>
      <c r="J7" s="12" t="s">
        <v>178</v>
      </c>
      <c r="K7" s="13">
        <v>46264</v>
      </c>
      <c r="L7" s="17"/>
    </row>
    <row r="8" spans="1:12" ht="41.4">
      <c r="A8" s="16" t="s">
        <v>212</v>
      </c>
      <c r="B8" s="12">
        <v>222010648</v>
      </c>
      <c r="C8" s="12" t="s">
        <v>32</v>
      </c>
      <c r="D8" s="12" t="s">
        <v>206</v>
      </c>
      <c r="E8" s="12" t="s">
        <v>222</v>
      </c>
      <c r="F8" s="12" t="s">
        <v>223</v>
      </c>
      <c r="G8" s="13">
        <v>46251</v>
      </c>
      <c r="H8" s="23" t="s">
        <v>261</v>
      </c>
      <c r="I8" s="12" t="s">
        <v>229</v>
      </c>
      <c r="J8" s="12" t="s">
        <v>178</v>
      </c>
      <c r="K8" s="13">
        <v>46264</v>
      </c>
      <c r="L8" s="17"/>
    </row>
    <row r="9" spans="1:12" ht="55.2">
      <c r="A9" s="16" t="s">
        <v>213</v>
      </c>
      <c r="B9" s="12">
        <v>221014841</v>
      </c>
      <c r="C9" s="12" t="s">
        <v>32</v>
      </c>
      <c r="D9" s="12" t="s">
        <v>205</v>
      </c>
      <c r="E9" s="12" t="s">
        <v>224</v>
      </c>
      <c r="F9" s="12" t="s">
        <v>264</v>
      </c>
      <c r="G9" s="13">
        <v>46264</v>
      </c>
      <c r="H9" s="23" t="s">
        <v>263</v>
      </c>
      <c r="I9" s="12" t="s">
        <v>230</v>
      </c>
      <c r="J9" s="12" t="s">
        <v>178</v>
      </c>
      <c r="K9" s="13">
        <v>46264</v>
      </c>
      <c r="L9" s="17"/>
    </row>
    <row r="10" spans="1:12" ht="41.4">
      <c r="A10" s="16" t="s">
        <v>184</v>
      </c>
      <c r="B10" s="12">
        <v>223043312</v>
      </c>
      <c r="C10" s="12" t="s">
        <v>32</v>
      </c>
      <c r="D10" s="12" t="s">
        <v>204</v>
      </c>
      <c r="E10" s="12" t="s">
        <v>203</v>
      </c>
      <c r="F10" s="12" t="s">
        <v>279</v>
      </c>
      <c r="G10" s="13">
        <v>46264</v>
      </c>
      <c r="H10" s="23" t="s">
        <v>263</v>
      </c>
      <c r="I10" s="12" t="s">
        <v>272</v>
      </c>
      <c r="J10" s="12" t="s">
        <v>178</v>
      </c>
      <c r="K10" s="13">
        <v>46264</v>
      </c>
      <c r="L10" s="17"/>
    </row>
    <row r="11" spans="1:12" ht="41.4">
      <c r="A11" s="16" t="s">
        <v>214</v>
      </c>
      <c r="B11" s="12">
        <v>222078169</v>
      </c>
      <c r="C11" s="12" t="s">
        <v>32</v>
      </c>
      <c r="D11" s="12" t="s">
        <v>216</v>
      </c>
      <c r="E11" s="12" t="s">
        <v>217</v>
      </c>
      <c r="F11" s="12" t="s">
        <v>225</v>
      </c>
      <c r="G11" s="13">
        <v>46254</v>
      </c>
      <c r="H11" s="23" t="s">
        <v>262</v>
      </c>
      <c r="I11" s="12" t="s">
        <v>273</v>
      </c>
      <c r="J11" s="12" t="s">
        <v>178</v>
      </c>
      <c r="K11" s="13">
        <v>46264</v>
      </c>
      <c r="L11" s="17"/>
    </row>
    <row r="12" spans="1:12" ht="41.4">
      <c r="A12" s="16" t="s">
        <v>215</v>
      </c>
      <c r="B12" s="12">
        <v>221014651</v>
      </c>
      <c r="C12" s="12" t="s">
        <v>32</v>
      </c>
      <c r="D12" s="12" t="s">
        <v>219</v>
      </c>
      <c r="E12" s="12" t="s">
        <v>218</v>
      </c>
      <c r="F12" s="12" t="s">
        <v>226</v>
      </c>
      <c r="G12" s="13">
        <v>46259</v>
      </c>
      <c r="H12" s="23" t="s">
        <v>261</v>
      </c>
      <c r="I12" s="12" t="s">
        <v>254</v>
      </c>
      <c r="J12" s="12" t="s">
        <v>178</v>
      </c>
      <c r="K12" s="13">
        <v>46264</v>
      </c>
      <c r="L12" s="17"/>
    </row>
    <row r="13" spans="1:12">
      <c r="A13" s="16"/>
      <c r="B13" s="12"/>
      <c r="C13" s="12"/>
      <c r="D13" s="12"/>
      <c r="E13" s="12"/>
      <c r="F13" s="12"/>
      <c r="G13" s="13"/>
      <c r="H13" s="23"/>
      <c r="I13" s="12"/>
      <c r="J13" s="12"/>
      <c r="K13" s="13"/>
      <c r="L13" s="17"/>
    </row>
    <row r="14" spans="1:12">
      <c r="A14" s="16"/>
      <c r="B14" s="12"/>
      <c r="C14" s="12"/>
      <c r="D14" s="12"/>
      <c r="E14" s="12"/>
      <c r="F14" s="12"/>
      <c r="G14" s="13"/>
      <c r="H14" s="23"/>
      <c r="I14" s="12"/>
      <c r="J14" s="12"/>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phoneticPr fontId="6" type="noConversion"/>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D1" workbookViewId="0">
      <selection activeCell="C13" sqref="C13"/>
    </sheetView>
  </sheetViews>
  <sheetFormatPr defaultRowHeight="13.8"/>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4" customHeight="1">
      <c r="A1" s="31" t="s">
        <v>115</v>
      </c>
      <c r="B1" s="31"/>
      <c r="C1" s="31"/>
      <c r="D1" s="31"/>
      <c r="E1" s="31"/>
      <c r="F1" s="31"/>
      <c r="G1" s="31"/>
      <c r="H1" s="31"/>
      <c r="I1" s="31"/>
    </row>
    <row r="2" spans="1:9" ht="27.6">
      <c r="A2" s="1" t="s">
        <v>116</v>
      </c>
      <c r="B2" s="15" t="s">
        <v>69</v>
      </c>
      <c r="C2" s="15" t="s">
        <v>117</v>
      </c>
      <c r="D2" s="15" t="s">
        <v>3</v>
      </c>
      <c r="E2" s="15" t="s">
        <v>118</v>
      </c>
      <c r="F2" s="15" t="s">
        <v>119</v>
      </c>
      <c r="G2" s="15" t="s">
        <v>120</v>
      </c>
      <c r="H2" s="15" t="s">
        <v>121</v>
      </c>
      <c r="I2" s="2" t="s">
        <v>77</v>
      </c>
    </row>
    <row r="3" spans="1:9" ht="82.8">
      <c r="A3" s="25" t="s">
        <v>270</v>
      </c>
      <c r="B3" s="12" t="s">
        <v>32</v>
      </c>
      <c r="C3" s="12" t="s">
        <v>283</v>
      </c>
      <c r="D3" s="12" t="s">
        <v>233</v>
      </c>
      <c r="E3" s="12" t="s">
        <v>253</v>
      </c>
      <c r="F3" s="12" t="s">
        <v>177</v>
      </c>
      <c r="G3" s="12" t="s">
        <v>232</v>
      </c>
      <c r="H3" s="12" t="s">
        <v>231</v>
      </c>
      <c r="I3" s="17" t="s">
        <v>271</v>
      </c>
    </row>
    <row r="4" spans="1:9">
      <c r="A4" s="25"/>
      <c r="B4" s="12"/>
      <c r="C4" s="12"/>
      <c r="D4" s="12"/>
      <c r="E4" s="12"/>
      <c r="F4" s="12"/>
      <c r="G4" s="12"/>
      <c r="H4" s="12"/>
      <c r="I4" s="17"/>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9"/>
  <sheetViews>
    <sheetView workbookViewId="0">
      <selection activeCell="H12" sqref="H12"/>
    </sheetView>
  </sheetViews>
  <sheetFormatPr defaultRowHeight="13.8"/>
  <cols>
    <col min="1" max="1" width="15" customWidth="1"/>
    <col min="2" max="2" width="19" customWidth="1"/>
    <col min="3" max="4" width="34" customWidth="1"/>
    <col min="5" max="5" width="38" customWidth="1"/>
    <col min="6" max="6" width="24" customWidth="1"/>
    <col min="7" max="8" width="14" customWidth="1"/>
  </cols>
  <sheetData>
    <row r="1" spans="1:8" ht="24" customHeight="1">
      <c r="A1" s="31" t="s">
        <v>122</v>
      </c>
      <c r="B1" s="31"/>
      <c r="C1" s="31"/>
      <c r="D1" s="31"/>
      <c r="E1" s="31"/>
      <c r="F1" s="31"/>
      <c r="G1" s="31"/>
      <c r="H1" s="31"/>
    </row>
    <row r="2" spans="1:8">
      <c r="A2" s="1" t="s">
        <v>123</v>
      </c>
      <c r="B2" s="15" t="s">
        <v>69</v>
      </c>
      <c r="C2" s="15" t="s">
        <v>124</v>
      </c>
      <c r="D2" s="15" t="s">
        <v>125</v>
      </c>
      <c r="E2" s="15" t="s">
        <v>126</v>
      </c>
      <c r="F2" s="15" t="s">
        <v>127</v>
      </c>
      <c r="G2" s="15" t="s">
        <v>128</v>
      </c>
      <c r="H2" s="2" t="s">
        <v>75</v>
      </c>
    </row>
    <row r="3" spans="1:8" ht="41.4">
      <c r="A3" s="25">
        <v>46252</v>
      </c>
      <c r="B3" s="12" t="s">
        <v>32</v>
      </c>
      <c r="C3" s="12" t="s">
        <v>242</v>
      </c>
      <c r="D3" s="12" t="s">
        <v>243</v>
      </c>
      <c r="E3" s="12" t="s">
        <v>234</v>
      </c>
      <c r="F3" s="12" t="s">
        <v>194</v>
      </c>
      <c r="G3" s="13">
        <v>46252</v>
      </c>
      <c r="H3" s="17" t="s">
        <v>195</v>
      </c>
    </row>
    <row r="4" spans="1:8" ht="69">
      <c r="A4" s="25">
        <v>46254</v>
      </c>
      <c r="B4" s="12" t="s">
        <v>32</v>
      </c>
      <c r="C4" s="12" t="s">
        <v>246</v>
      </c>
      <c r="D4" s="12" t="s">
        <v>245</v>
      </c>
      <c r="E4" s="12" t="s">
        <v>244</v>
      </c>
      <c r="F4" s="12" t="s">
        <v>194</v>
      </c>
      <c r="G4" s="13">
        <v>46264</v>
      </c>
      <c r="H4" s="17" t="s">
        <v>195</v>
      </c>
    </row>
    <row r="5" spans="1:8">
      <c r="A5" s="25"/>
      <c r="B5" s="12"/>
      <c r="C5" s="12"/>
      <c r="D5" s="12"/>
      <c r="E5" s="12"/>
      <c r="F5" s="12"/>
      <c r="G5" s="13"/>
      <c r="H5" s="17"/>
    </row>
    <row r="6" spans="1:8">
      <c r="A6" s="25"/>
      <c r="B6" s="12"/>
      <c r="C6" s="12"/>
      <c r="D6" s="12"/>
      <c r="E6" s="12"/>
      <c r="F6" s="12"/>
      <c r="G6" s="13"/>
      <c r="H6" s="17"/>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6"/>
      <c r="B99" s="19"/>
      <c r="C99" s="19"/>
      <c r="D99" s="19"/>
      <c r="E99" s="19"/>
      <c r="F99" s="19"/>
      <c r="G99" s="20"/>
      <c r="H99" s="22"/>
    </row>
  </sheetData>
  <mergeCells count="1">
    <mergeCell ref="A1:H1"/>
  </mergeCells>
  <conditionalFormatting sqref="H3:H99">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99" xr:uid="{00000000-0002-0000-0500-000000000000}">
      <formula1>"Unit 1 / Phase 1,Phase 2,Phase 3,Final"</formula1>
    </dataValidation>
    <dataValidation type="list" sqref="H3:H99"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E12" sqref="E12"/>
    </sheetView>
  </sheetViews>
  <sheetFormatPr defaultRowHeight="13.8"/>
  <cols>
    <col min="1" max="1" width="34" customWidth="1"/>
    <col min="2" max="2" width="58" customWidth="1"/>
    <col min="3" max="3" width="3" customWidth="1"/>
    <col min="4" max="4" width="40" customWidth="1"/>
    <col min="5" max="5" width="12" customWidth="1"/>
    <col min="6" max="6" width="3" customWidth="1"/>
  </cols>
  <sheetData>
    <row r="1" spans="1:6" ht="24" customHeight="1">
      <c r="A1" s="31" t="s">
        <v>129</v>
      </c>
      <c r="B1" s="31"/>
      <c r="C1" s="31"/>
      <c r="D1" s="31"/>
      <c r="E1" s="31"/>
      <c r="F1" s="31"/>
    </row>
    <row r="3" spans="1:6">
      <c r="A3" s="1" t="s">
        <v>130</v>
      </c>
      <c r="B3" s="2" t="s">
        <v>42</v>
      </c>
      <c r="D3" s="36" t="s">
        <v>131</v>
      </c>
      <c r="E3" s="37"/>
      <c r="F3" s="38"/>
    </row>
    <row r="4" spans="1:6">
      <c r="A4" s="3" t="s">
        <v>53</v>
      </c>
      <c r="B4" s="7" t="s">
        <v>32</v>
      </c>
      <c r="D4" s="3" t="s">
        <v>132</v>
      </c>
      <c r="E4" s="27" t="s">
        <v>178</v>
      </c>
    </row>
    <row r="5" spans="1:6">
      <c r="A5" s="3" t="s">
        <v>55</v>
      </c>
      <c r="B5" s="7"/>
      <c r="D5" s="3" t="s">
        <v>133</v>
      </c>
      <c r="E5" s="27" t="s">
        <v>178</v>
      </c>
    </row>
    <row r="6" spans="1:6">
      <c r="A6" s="3" t="s">
        <v>134</v>
      </c>
      <c r="B6" s="7" t="s">
        <v>48</v>
      </c>
      <c r="D6" s="3" t="s">
        <v>135</v>
      </c>
      <c r="E6" s="27" t="s">
        <v>178</v>
      </c>
    </row>
    <row r="7" spans="1:6" ht="69">
      <c r="A7" s="3" t="s">
        <v>136</v>
      </c>
      <c r="B7" s="7" t="s">
        <v>239</v>
      </c>
      <c r="D7" s="3" t="s">
        <v>137</v>
      </c>
      <c r="E7" s="27" t="s">
        <v>178</v>
      </c>
    </row>
    <row r="8" spans="1:6" ht="48" customHeight="1">
      <c r="A8" s="3" t="s">
        <v>138</v>
      </c>
      <c r="B8" s="7" t="s">
        <v>235</v>
      </c>
      <c r="D8" s="3" t="s">
        <v>139</v>
      </c>
      <c r="E8" s="27" t="s">
        <v>178</v>
      </c>
    </row>
    <row r="9" spans="1:6" ht="48" customHeight="1">
      <c r="A9" s="3" t="s">
        <v>140</v>
      </c>
      <c r="B9" s="7" t="s">
        <v>236</v>
      </c>
      <c r="D9" s="3" t="s">
        <v>141</v>
      </c>
      <c r="E9" s="27" t="s">
        <v>178</v>
      </c>
    </row>
    <row r="10" spans="1:6" ht="48" customHeight="1">
      <c r="A10" s="3" t="s">
        <v>142</v>
      </c>
      <c r="B10" s="29" t="s">
        <v>240</v>
      </c>
      <c r="D10" s="3" t="s">
        <v>143</v>
      </c>
      <c r="E10" s="27" t="s">
        <v>178</v>
      </c>
    </row>
    <row r="11" spans="1:6" ht="55.2">
      <c r="A11" s="3" t="s">
        <v>144</v>
      </c>
      <c r="B11" s="29" t="s">
        <v>241</v>
      </c>
      <c r="D11" s="3" t="s">
        <v>145</v>
      </c>
      <c r="E11" s="27" t="s">
        <v>178</v>
      </c>
    </row>
    <row r="12" spans="1:6" ht="48" customHeight="1">
      <c r="A12" s="3" t="s">
        <v>146</v>
      </c>
      <c r="B12" s="7" t="s">
        <v>237</v>
      </c>
      <c r="D12" s="5" t="s">
        <v>147</v>
      </c>
      <c r="E12" s="28" t="s">
        <v>178</v>
      </c>
    </row>
    <row r="13" spans="1:6" ht="55.2">
      <c r="A13" s="5" t="s">
        <v>148</v>
      </c>
      <c r="B13" s="9" t="s">
        <v>238</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B7" zoomScale="85" zoomScaleNormal="85" workbookViewId="0">
      <selection activeCell="B11" sqref="B11"/>
    </sheetView>
  </sheetViews>
  <sheetFormatPr defaultRowHeight="13.8"/>
  <cols>
    <col min="1" max="1" width="38" customWidth="1"/>
    <col min="2" max="2" width="67.69921875" customWidth="1"/>
    <col min="3" max="3" width="3" customWidth="1"/>
    <col min="4" max="4" width="20" customWidth="1"/>
    <col min="5" max="5" width="48" customWidth="1"/>
    <col min="6" max="6" width="3" customWidth="1"/>
  </cols>
  <sheetData>
    <row r="1" spans="1:6" ht="24" customHeight="1">
      <c r="A1" s="31" t="s">
        <v>29</v>
      </c>
      <c r="B1" s="31"/>
      <c r="C1" s="31"/>
      <c r="D1" s="31"/>
      <c r="E1" s="31"/>
      <c r="F1" s="31"/>
    </row>
    <row r="3" spans="1:6">
      <c r="A3" s="1" t="s">
        <v>149</v>
      </c>
      <c r="B3" s="2" t="s">
        <v>42</v>
      </c>
      <c r="D3" s="36" t="s">
        <v>150</v>
      </c>
      <c r="E3" s="37"/>
      <c r="F3" s="38"/>
    </row>
    <row r="4" spans="1:6" ht="33.6" customHeight="1">
      <c r="A4" s="3" t="s">
        <v>53</v>
      </c>
      <c r="B4" s="7" t="s">
        <v>32</v>
      </c>
      <c r="D4" s="3" t="s">
        <v>151</v>
      </c>
      <c r="E4" s="4" t="s">
        <v>152</v>
      </c>
    </row>
    <row r="5" spans="1:6" ht="33.6" customHeight="1">
      <c r="A5" s="3" t="s">
        <v>47</v>
      </c>
      <c r="B5" s="7" t="s">
        <v>180</v>
      </c>
      <c r="D5" s="3" t="s">
        <v>153</v>
      </c>
      <c r="E5" s="4" t="s">
        <v>154</v>
      </c>
    </row>
    <row r="6" spans="1:6" ht="82.8">
      <c r="A6" s="3" t="s">
        <v>155</v>
      </c>
      <c r="B6" s="7" t="s">
        <v>275</v>
      </c>
      <c r="D6" s="3" t="s">
        <v>156</v>
      </c>
      <c r="E6" s="4" t="s">
        <v>157</v>
      </c>
    </row>
    <row r="7" spans="1:6" ht="55.2">
      <c r="A7" s="3" t="s">
        <v>158</v>
      </c>
      <c r="B7" s="7" t="s">
        <v>276</v>
      </c>
      <c r="D7" s="3" t="s">
        <v>159</v>
      </c>
      <c r="E7" s="4" t="s">
        <v>160</v>
      </c>
    </row>
    <row r="8" spans="1:6" ht="55.2">
      <c r="A8" s="3" t="s">
        <v>161</v>
      </c>
      <c r="B8" s="7" t="s">
        <v>277</v>
      </c>
      <c r="D8" s="5" t="s">
        <v>162</v>
      </c>
      <c r="E8" s="6" t="s">
        <v>163</v>
      </c>
    </row>
    <row r="9" spans="1:6" ht="59.25" customHeight="1">
      <c r="A9" s="3" t="s">
        <v>164</v>
      </c>
      <c r="B9" s="7" t="s">
        <v>278</v>
      </c>
    </row>
    <row r="10" spans="1:6" ht="55.2">
      <c r="A10" s="3" t="s">
        <v>165</v>
      </c>
      <c r="B10" s="7" t="s">
        <v>247</v>
      </c>
    </row>
    <row r="11" spans="1:6" ht="55.2">
      <c r="A11" s="3" t="s">
        <v>166</v>
      </c>
      <c r="B11" s="7" t="s">
        <v>248</v>
      </c>
    </row>
    <row r="12" spans="1:6" ht="59.25" customHeight="1">
      <c r="A12" s="3" t="s">
        <v>167</v>
      </c>
      <c r="B12" s="7" t="s">
        <v>249</v>
      </c>
    </row>
    <row r="13" spans="1:6" ht="59.25" customHeight="1">
      <c r="A13" s="3" t="s">
        <v>168</v>
      </c>
      <c r="B13" s="7" t="s">
        <v>250</v>
      </c>
    </row>
    <row r="14" spans="1:6" ht="59.25" customHeight="1">
      <c r="A14" s="3" t="s">
        <v>169</v>
      </c>
      <c r="B14" s="7" t="s">
        <v>251</v>
      </c>
    </row>
    <row r="15" spans="1:6" ht="59.25" customHeight="1">
      <c r="A15" s="5" t="s">
        <v>170</v>
      </c>
      <c r="B15" s="9" t="s">
        <v>252</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Tshego</dc:creator>
  <cp:lastModifiedBy>Choane Sebariki</cp:lastModifiedBy>
  <dcterms:created xsi:type="dcterms:W3CDTF">2026-08-26T07:33:51Z</dcterms:created>
  <dcterms:modified xsi:type="dcterms:W3CDTF">2026-09-03T10:28:26Z</dcterms:modified>
</cp:coreProperties>
</file>